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2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ĐỒ ÁN NỀN MÓNG\"/>
    </mc:Choice>
  </mc:AlternateContent>
  <xr:revisionPtr revIDLastSave="0" documentId="13_ncr:1_{C1D24AE6-7B6F-4821-81FD-4457CBF97B5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INH LUN" sheetId="1" r:id="rId1"/>
    <sheet name="Sheet2" sheetId="2" r:id="rId2"/>
    <sheet name="Sheet3" sheetId="3" r:id="rId3"/>
  </sheets>
  <definedNames>
    <definedName name="_xlnm._FilterDatabase" localSheetId="2" hidden="1">Sheet3!$C$2:$H$4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H24" i="1" l="1"/>
  <c r="G24" i="1"/>
  <c r="I24" i="1" s="1"/>
  <c r="J26" i="1" l="1"/>
  <c r="J25" i="1"/>
  <c r="J38" i="1" l="1"/>
  <c r="J39" i="1"/>
  <c r="J40" i="1"/>
  <c r="J41" i="1"/>
  <c r="J42" i="1"/>
  <c r="J43" i="1"/>
  <c r="J44" i="1"/>
  <c r="J45" i="1"/>
  <c r="J46" i="1"/>
  <c r="J27" i="1"/>
  <c r="J28" i="1"/>
  <c r="J29" i="1"/>
  <c r="J30" i="1"/>
  <c r="J31" i="1"/>
  <c r="J32" i="1"/>
  <c r="J33" i="1"/>
  <c r="J34" i="1"/>
  <c r="J35" i="1"/>
  <c r="J36" i="1"/>
  <c r="J37" i="1"/>
  <c r="B33" i="1" l="1"/>
  <c r="B27" i="1"/>
  <c r="B25" i="1"/>
  <c r="J24" i="1" l="1"/>
  <c r="R24" i="1" l="1"/>
  <c r="Q24" i="1" s="1"/>
  <c r="H3" i="3" l="1"/>
  <c r="G6" i="3"/>
  <c r="G7" i="3"/>
  <c r="H4" i="3"/>
  <c r="B12" i="2" l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11" i="2"/>
  <c r="C11" i="2" s="1"/>
  <c r="E11" i="2"/>
  <c r="J11" i="2" s="1"/>
  <c r="K11" i="2" s="1"/>
  <c r="M11" i="2" s="1"/>
  <c r="E12" i="2"/>
  <c r="J12" i="2" s="1"/>
  <c r="K12" i="2" s="1"/>
  <c r="E13" i="2"/>
  <c r="J13" i="2" s="1"/>
  <c r="K13" i="2" s="1"/>
  <c r="E14" i="2"/>
  <c r="J14" i="2" s="1"/>
  <c r="K14" i="2" s="1"/>
  <c r="E15" i="2"/>
  <c r="J15" i="2" s="1"/>
  <c r="K15" i="2" s="1"/>
  <c r="E16" i="2"/>
  <c r="J16" i="2" s="1"/>
  <c r="K16" i="2" s="1"/>
  <c r="E17" i="2"/>
  <c r="J17" i="2" s="1"/>
  <c r="K17" i="2" s="1"/>
  <c r="E18" i="2"/>
  <c r="J18" i="2" s="1"/>
  <c r="K18" i="2" s="1"/>
  <c r="E19" i="2"/>
  <c r="J19" i="2" s="1"/>
  <c r="K19" i="2" s="1"/>
  <c r="E20" i="2"/>
  <c r="J20" i="2" s="1"/>
  <c r="K20" i="2" s="1"/>
  <c r="E21" i="2"/>
  <c r="J21" i="2" s="1"/>
  <c r="K21" i="2" s="1"/>
  <c r="E22" i="2"/>
  <c r="J22" i="2" s="1"/>
  <c r="K22" i="2" s="1"/>
  <c r="E23" i="2"/>
  <c r="J23" i="2" s="1"/>
  <c r="K23" i="2" s="1"/>
  <c r="E24" i="2"/>
  <c r="J24" i="2" s="1"/>
  <c r="K24" i="2" s="1"/>
  <c r="E25" i="2"/>
  <c r="J25" i="2" s="1"/>
  <c r="K25" i="2" s="1"/>
  <c r="E26" i="2"/>
  <c r="J26" i="2" s="1"/>
  <c r="K26" i="2" s="1"/>
  <c r="E27" i="2"/>
  <c r="J27" i="2" s="1"/>
  <c r="K27" i="2" s="1"/>
  <c r="E28" i="2"/>
  <c r="J28" i="2" s="1"/>
  <c r="K28" i="2" s="1"/>
  <c r="E29" i="2"/>
  <c r="J29" i="2" s="1"/>
  <c r="K29" i="2" s="1"/>
  <c r="E30" i="2"/>
  <c r="J30" i="2" s="1"/>
  <c r="K30" i="2" s="1"/>
  <c r="E31" i="2"/>
  <c r="J31" i="2" s="1"/>
  <c r="K31" i="2" s="1"/>
  <c r="E32" i="2"/>
  <c r="J32" i="2" s="1"/>
  <c r="K32" i="2" s="1"/>
  <c r="E10" i="2"/>
  <c r="E24" i="1"/>
  <c r="L11" i="2" l="1"/>
  <c r="D11" i="2"/>
  <c r="H11" i="2" s="1"/>
  <c r="I11" i="2" s="1"/>
  <c r="Q11" i="2" s="1"/>
  <c r="C12" i="2"/>
  <c r="P11" i="2" l="1"/>
  <c r="S11" i="2" s="1"/>
  <c r="N11" i="2"/>
  <c r="O11" i="2"/>
  <c r="C13" i="2"/>
  <c r="D12" i="2"/>
  <c r="H12" i="2" s="1"/>
  <c r="I12" i="2" s="1"/>
  <c r="B36" i="1"/>
  <c r="E36" i="1"/>
  <c r="W36" i="1" s="1"/>
  <c r="X36" i="1" s="1"/>
  <c r="Z36" i="1" s="1"/>
  <c r="B37" i="1"/>
  <c r="E37" i="1"/>
  <c r="W37" i="1" s="1"/>
  <c r="B38" i="1"/>
  <c r="W38" i="1"/>
  <c r="X38" i="1" s="1"/>
  <c r="Z38" i="1" s="1"/>
  <c r="B39" i="1"/>
  <c r="E39" i="1"/>
  <c r="W39" i="1" s="1"/>
  <c r="B40" i="1"/>
  <c r="E40" i="1"/>
  <c r="W40" i="1" s="1"/>
  <c r="X40" i="1" s="1"/>
  <c r="Z40" i="1" s="1"/>
  <c r="B41" i="1"/>
  <c r="E41" i="1"/>
  <c r="B42" i="1"/>
  <c r="E42" i="1"/>
  <c r="W42" i="1" s="1"/>
  <c r="X42" i="1" s="1"/>
  <c r="Z42" i="1" s="1"/>
  <c r="B43" i="1"/>
  <c r="E43" i="1"/>
  <c r="B44" i="1"/>
  <c r="E44" i="1"/>
  <c r="W44" i="1" s="1"/>
  <c r="X44" i="1" s="1"/>
  <c r="Z44" i="1" s="1"/>
  <c r="B45" i="1"/>
  <c r="E45" i="1"/>
  <c r="B46" i="1"/>
  <c r="E46" i="1"/>
  <c r="W46" i="1" s="1"/>
  <c r="X46" i="1" s="1"/>
  <c r="Z46" i="1" s="1"/>
  <c r="B31" i="1"/>
  <c r="B32" i="1"/>
  <c r="B34" i="1"/>
  <c r="R11" i="2" l="1"/>
  <c r="F11" i="2" s="1"/>
  <c r="C14" i="2"/>
  <c r="D13" i="2"/>
  <c r="H13" i="2" s="1"/>
  <c r="I13" i="2" s="1"/>
  <c r="M24" i="1"/>
  <c r="Y39" i="1"/>
  <c r="X39" i="1"/>
  <c r="Z39" i="1" s="1"/>
  <c r="W45" i="1"/>
  <c r="W43" i="1"/>
  <c r="Y37" i="1"/>
  <c r="X37" i="1"/>
  <c r="Z37" i="1" s="1"/>
  <c r="W41" i="1"/>
  <c r="Y46" i="1"/>
  <c r="Y44" i="1"/>
  <c r="Y42" i="1"/>
  <c r="Y40" i="1"/>
  <c r="Y38" i="1"/>
  <c r="Y36" i="1"/>
  <c r="E26" i="1"/>
  <c r="W26" i="1" s="1"/>
  <c r="E27" i="1"/>
  <c r="W27" i="1" s="1"/>
  <c r="E28" i="1"/>
  <c r="W28" i="1" s="1"/>
  <c r="E29" i="1"/>
  <c r="W29" i="1" s="1"/>
  <c r="E30" i="1"/>
  <c r="W30" i="1" s="1"/>
  <c r="E31" i="1"/>
  <c r="W31" i="1" s="1"/>
  <c r="Y31" i="1" s="1"/>
  <c r="E32" i="1"/>
  <c r="W32" i="1" s="1"/>
  <c r="Y32" i="1" s="1"/>
  <c r="E33" i="1"/>
  <c r="W33" i="1" s="1"/>
  <c r="E34" i="1"/>
  <c r="W34" i="1" s="1"/>
  <c r="E35" i="1"/>
  <c r="W35" i="1" s="1"/>
  <c r="E25" i="1"/>
  <c r="W25" i="1" s="1"/>
  <c r="C25" i="1"/>
  <c r="R25" i="1" l="1"/>
  <c r="D25" i="1"/>
  <c r="B26" i="1"/>
  <c r="C26" i="1" s="1"/>
  <c r="Q25" i="1"/>
  <c r="H25" i="1" s="1"/>
  <c r="C15" i="2"/>
  <c r="D14" i="2"/>
  <c r="H14" i="2" s="1"/>
  <c r="I14" i="2" s="1"/>
  <c r="N24" i="1"/>
  <c r="P24" i="1" s="1"/>
  <c r="O24" i="1"/>
  <c r="M25" i="1"/>
  <c r="Y45" i="1"/>
  <c r="X45" i="1"/>
  <c r="Z45" i="1" s="1"/>
  <c r="Y43" i="1"/>
  <c r="X43" i="1"/>
  <c r="Z43" i="1" s="1"/>
  <c r="Y41" i="1"/>
  <c r="X41" i="1"/>
  <c r="Z41" i="1" s="1"/>
  <c r="X29" i="1"/>
  <c r="Z29" i="1" s="1"/>
  <c r="Y29" i="1"/>
  <c r="X30" i="1"/>
  <c r="Z30" i="1" s="1"/>
  <c r="Y30" i="1"/>
  <c r="X25" i="1"/>
  <c r="Z25" i="1" s="1"/>
  <c r="Y25" i="1"/>
  <c r="X35" i="1"/>
  <c r="Z35" i="1" s="1"/>
  <c r="Y35" i="1"/>
  <c r="X34" i="1"/>
  <c r="Z34" i="1" s="1"/>
  <c r="Y34" i="1"/>
  <c r="Y26" i="1"/>
  <c r="X26" i="1"/>
  <c r="Z26" i="1" s="1"/>
  <c r="Y33" i="1"/>
  <c r="X33" i="1"/>
  <c r="Z33" i="1" s="1"/>
  <c r="X31" i="1"/>
  <c r="Z31" i="1" s="1"/>
  <c r="Y28" i="1"/>
  <c r="X28" i="1"/>
  <c r="Z28" i="1" s="1"/>
  <c r="Y27" i="1"/>
  <c r="X27" i="1"/>
  <c r="Z27" i="1" s="1"/>
  <c r="X32" i="1"/>
  <c r="Z32" i="1" s="1"/>
  <c r="R26" i="1" l="1"/>
  <c r="D26" i="1"/>
  <c r="U25" i="1"/>
  <c r="AB25" i="1" s="1"/>
  <c r="C27" i="1"/>
  <c r="Q26" i="1"/>
  <c r="H26" i="1" s="1"/>
  <c r="C16" i="2"/>
  <c r="D15" i="2"/>
  <c r="H15" i="2" s="1"/>
  <c r="I15" i="2" s="1"/>
  <c r="M26" i="1"/>
  <c r="N26" i="1" s="1"/>
  <c r="P26" i="1" s="1"/>
  <c r="N25" i="1"/>
  <c r="P25" i="1" s="1"/>
  <c r="O25" i="1"/>
  <c r="R27" i="1" l="1"/>
  <c r="D27" i="1"/>
  <c r="AA25" i="1"/>
  <c r="V25" i="1"/>
  <c r="AC25" i="1" s="1"/>
  <c r="U26" i="1"/>
  <c r="AB26" i="1" s="1"/>
  <c r="B28" i="1"/>
  <c r="C28" i="1" s="1"/>
  <c r="D28" i="1" s="1"/>
  <c r="Q27" i="1"/>
  <c r="C17" i="2"/>
  <c r="D16" i="2"/>
  <c r="H16" i="2" s="1"/>
  <c r="I16" i="2" s="1"/>
  <c r="O26" i="1"/>
  <c r="M27" i="1"/>
  <c r="AE25" i="1"/>
  <c r="U27" i="1"/>
  <c r="AD25" i="1" l="1"/>
  <c r="AF25" i="1" s="1"/>
  <c r="F25" i="1" s="1"/>
  <c r="G25" i="1" s="1"/>
  <c r="I25" i="1" s="1"/>
  <c r="AA26" i="1"/>
  <c r="V26" i="1"/>
  <c r="AD26" i="1" s="1"/>
  <c r="R28" i="1"/>
  <c r="Q28" i="1" s="1"/>
  <c r="L24" i="1"/>
  <c r="C18" i="2"/>
  <c r="D17" i="2"/>
  <c r="H17" i="2" s="1"/>
  <c r="I17" i="2" s="1"/>
  <c r="N27" i="1"/>
  <c r="P27" i="1" s="1"/>
  <c r="O27" i="1"/>
  <c r="B29" i="1"/>
  <c r="C29" i="1" s="1"/>
  <c r="C30" i="1" s="1"/>
  <c r="M28" i="1"/>
  <c r="U28" i="1"/>
  <c r="AE26" i="1"/>
  <c r="AA27" i="1"/>
  <c r="AB27" i="1"/>
  <c r="V27" i="1"/>
  <c r="AC26" i="1" l="1"/>
  <c r="R29" i="1"/>
  <c r="Q29" i="1" s="1"/>
  <c r="K25" i="1"/>
  <c r="H27" i="1"/>
  <c r="H28" i="1" s="1"/>
  <c r="M30" i="1"/>
  <c r="C19" i="2"/>
  <c r="D18" i="2"/>
  <c r="H18" i="2" s="1"/>
  <c r="I18" i="2" s="1"/>
  <c r="N28" i="1"/>
  <c r="P28" i="1" s="1"/>
  <c r="O28" i="1"/>
  <c r="M29" i="1"/>
  <c r="D29" i="1"/>
  <c r="U29" i="1" s="1"/>
  <c r="L25" i="1"/>
  <c r="AF26" i="1"/>
  <c r="F26" i="1" s="1"/>
  <c r="G26" i="1" s="1"/>
  <c r="I26" i="1" s="1"/>
  <c r="AE27" i="1"/>
  <c r="AA28" i="1"/>
  <c r="AB28" i="1"/>
  <c r="V28" i="1"/>
  <c r="AD27" i="1"/>
  <c r="AC27" i="1"/>
  <c r="R30" i="1" l="1"/>
  <c r="Q30" i="1" s="1"/>
  <c r="H29" i="1"/>
  <c r="D30" i="1"/>
  <c r="U30" i="1" s="1"/>
  <c r="C31" i="1"/>
  <c r="C20" i="2"/>
  <c r="D19" i="2"/>
  <c r="H19" i="2" s="1"/>
  <c r="I19" i="2" s="1"/>
  <c r="N30" i="1"/>
  <c r="P30" i="1" s="1"/>
  <c r="O30" i="1"/>
  <c r="N29" i="1"/>
  <c r="P29" i="1" s="1"/>
  <c r="O29" i="1"/>
  <c r="AF27" i="1"/>
  <c r="F27" i="1" s="1"/>
  <c r="AA29" i="1"/>
  <c r="AB29" i="1"/>
  <c r="V29" i="1"/>
  <c r="AD28" i="1"/>
  <c r="AC28" i="1"/>
  <c r="AE28" i="1"/>
  <c r="K26" i="1" l="1"/>
  <c r="L26" i="1"/>
  <c r="G27" i="1"/>
  <c r="R31" i="1"/>
  <c r="Q31" i="1" s="1"/>
  <c r="D31" i="1"/>
  <c r="U31" i="1" s="1"/>
  <c r="H30" i="1"/>
  <c r="M31" i="1"/>
  <c r="N31" i="1" s="1"/>
  <c r="P31" i="1" s="1"/>
  <c r="C32" i="1"/>
  <c r="C33" i="1" s="1"/>
  <c r="C21" i="2"/>
  <c r="D20" i="2"/>
  <c r="H20" i="2" s="1"/>
  <c r="I20" i="2" s="1"/>
  <c r="AF28" i="1"/>
  <c r="F28" i="1" s="1"/>
  <c r="AD29" i="1"/>
  <c r="AC29" i="1"/>
  <c r="AB30" i="1"/>
  <c r="V30" i="1"/>
  <c r="AA30" i="1"/>
  <c r="AE29" i="1"/>
  <c r="K27" i="1" l="1"/>
  <c r="I27" i="1"/>
  <c r="L27" i="1"/>
  <c r="G28" i="1"/>
  <c r="H31" i="1"/>
  <c r="R32" i="1"/>
  <c r="Q32" i="1" s="1"/>
  <c r="O31" i="1"/>
  <c r="D32" i="1"/>
  <c r="M32" i="1"/>
  <c r="O32" i="1" s="1"/>
  <c r="C22" i="2"/>
  <c r="D21" i="2"/>
  <c r="H21" i="2" s="1"/>
  <c r="I21" i="2" s="1"/>
  <c r="AF29" i="1"/>
  <c r="F29" i="1" s="1"/>
  <c r="AB31" i="1"/>
  <c r="V31" i="1"/>
  <c r="AA31" i="1"/>
  <c r="AC30" i="1"/>
  <c r="AD30" i="1"/>
  <c r="AE30" i="1"/>
  <c r="U32" i="1" l="1"/>
  <c r="K28" i="1"/>
  <c r="I28" i="1"/>
  <c r="N32" i="1"/>
  <c r="P32" i="1" s="1"/>
  <c r="G29" i="1"/>
  <c r="L28" i="1"/>
  <c r="H32" i="1"/>
  <c r="R33" i="1"/>
  <c r="Q33" i="1" s="1"/>
  <c r="D33" i="1"/>
  <c r="U33" i="1" s="1"/>
  <c r="M33" i="1"/>
  <c r="O33" i="1" s="1"/>
  <c r="C34" i="1"/>
  <c r="C23" i="2"/>
  <c r="D22" i="2"/>
  <c r="H22" i="2" s="1"/>
  <c r="I22" i="2" s="1"/>
  <c r="AE31" i="1"/>
  <c r="AF30" i="1"/>
  <c r="F30" i="1" s="1"/>
  <c r="AD31" i="1"/>
  <c r="AC31" i="1"/>
  <c r="AB32" i="1"/>
  <c r="V32" i="1"/>
  <c r="AA32" i="1"/>
  <c r="K29" i="1" l="1"/>
  <c r="I29" i="1"/>
  <c r="D34" i="1"/>
  <c r="B35" i="1"/>
  <c r="C35" i="1" s="1"/>
  <c r="C36" i="1" s="1"/>
  <c r="H33" i="1"/>
  <c r="L29" i="1"/>
  <c r="G30" i="1"/>
  <c r="R34" i="1"/>
  <c r="Q34" i="1" s="1"/>
  <c r="N33" i="1"/>
  <c r="P33" i="1" s="1"/>
  <c r="M34" i="1"/>
  <c r="O34" i="1" s="1"/>
  <c r="C24" i="2"/>
  <c r="D23" i="2"/>
  <c r="H23" i="2" s="1"/>
  <c r="I23" i="2" s="1"/>
  <c r="AF31" i="1"/>
  <c r="F31" i="1" s="1"/>
  <c r="AC32" i="1"/>
  <c r="AD32" i="1"/>
  <c r="U34" i="1"/>
  <c r="AA33" i="1"/>
  <c r="AB33" i="1"/>
  <c r="V33" i="1"/>
  <c r="AE32" i="1"/>
  <c r="K30" i="1" l="1"/>
  <c r="I30" i="1"/>
  <c r="H34" i="1"/>
  <c r="G31" i="1"/>
  <c r="L30" i="1"/>
  <c r="N34" i="1"/>
  <c r="P34" i="1" s="1"/>
  <c r="R36" i="1"/>
  <c r="Q36" i="1" s="1"/>
  <c r="R35" i="1"/>
  <c r="Q35" i="1" s="1"/>
  <c r="D35" i="1"/>
  <c r="U35" i="1" s="1"/>
  <c r="AA35" i="1" s="1"/>
  <c r="M35" i="1"/>
  <c r="O35" i="1" s="1"/>
  <c r="C25" i="2"/>
  <c r="D24" i="2"/>
  <c r="H24" i="2" s="1"/>
  <c r="I24" i="2" s="1"/>
  <c r="C37" i="1"/>
  <c r="R37" i="1" s="1"/>
  <c r="M36" i="1"/>
  <c r="D36" i="1"/>
  <c r="U36" i="1" s="1"/>
  <c r="V36" i="1" s="1"/>
  <c r="AC33" i="1"/>
  <c r="AD33" i="1"/>
  <c r="AE33" i="1"/>
  <c r="AA34" i="1"/>
  <c r="AB34" i="1"/>
  <c r="V34" i="1"/>
  <c r="AF32" i="1"/>
  <c r="K31" i="1" l="1"/>
  <c r="I31" i="1"/>
  <c r="N35" i="1"/>
  <c r="P35" i="1" s="1"/>
  <c r="H35" i="1"/>
  <c r="H36" i="1" s="1"/>
  <c r="L31" i="1"/>
  <c r="V35" i="1"/>
  <c r="AD35" i="1" s="1"/>
  <c r="AB35" i="1"/>
  <c r="AE35" i="1" s="1"/>
  <c r="C38" i="1"/>
  <c r="Q37" i="1"/>
  <c r="M37" i="1"/>
  <c r="O37" i="1" s="1"/>
  <c r="C26" i="2"/>
  <c r="D25" i="2"/>
  <c r="H25" i="2" s="1"/>
  <c r="I25" i="2" s="1"/>
  <c r="D37" i="1"/>
  <c r="U37" i="1" s="1"/>
  <c r="V37" i="1" s="1"/>
  <c r="AA36" i="1"/>
  <c r="AB36" i="1"/>
  <c r="N36" i="1"/>
  <c r="P36" i="1" s="1"/>
  <c r="O36" i="1"/>
  <c r="AC36" i="1"/>
  <c r="AD36" i="1"/>
  <c r="AE34" i="1"/>
  <c r="AF33" i="1"/>
  <c r="F33" i="1" s="1"/>
  <c r="AD34" i="1"/>
  <c r="AC34" i="1"/>
  <c r="H37" i="1" l="1"/>
  <c r="G33" i="1"/>
  <c r="AC35" i="1"/>
  <c r="AF35" i="1" s="1"/>
  <c r="F35" i="1" s="1"/>
  <c r="R38" i="1"/>
  <c r="Q38" i="1" s="1"/>
  <c r="C39" i="1"/>
  <c r="D38" i="1"/>
  <c r="U38" i="1" s="1"/>
  <c r="V38" i="1" s="1"/>
  <c r="M38" i="1"/>
  <c r="O38" i="1" s="1"/>
  <c r="N37" i="1"/>
  <c r="P37" i="1" s="1"/>
  <c r="AB37" i="1"/>
  <c r="AA37" i="1"/>
  <c r="C27" i="2"/>
  <c r="D26" i="2"/>
  <c r="H26" i="2" s="1"/>
  <c r="I26" i="2" s="1"/>
  <c r="AE36" i="1"/>
  <c r="AC37" i="1"/>
  <c r="AD37" i="1"/>
  <c r="AF36" i="1"/>
  <c r="AF34" i="1"/>
  <c r="K33" i="1" l="1"/>
  <c r="I33" i="1"/>
  <c r="L33" i="1"/>
  <c r="H38" i="1"/>
  <c r="AE37" i="1"/>
  <c r="G35" i="1"/>
  <c r="I35" i="1" s="1"/>
  <c r="R39" i="1"/>
  <c r="Q39" i="1" s="1"/>
  <c r="N38" i="1"/>
  <c r="P38" i="1" s="1"/>
  <c r="D39" i="1"/>
  <c r="U39" i="1" s="1"/>
  <c r="V39" i="1" s="1"/>
  <c r="C40" i="1"/>
  <c r="D40" i="1" s="1"/>
  <c r="U40" i="1" s="1"/>
  <c r="AB38" i="1"/>
  <c r="M39" i="1"/>
  <c r="N39" i="1" s="1"/>
  <c r="P39" i="1" s="1"/>
  <c r="AA38" i="1"/>
  <c r="F36" i="1"/>
  <c r="C28" i="2"/>
  <c r="D27" i="2"/>
  <c r="H27" i="2" s="1"/>
  <c r="I27" i="2" s="1"/>
  <c r="AF37" i="1"/>
  <c r="AC38" i="1"/>
  <c r="AD38" i="1"/>
  <c r="K35" i="1" l="1"/>
  <c r="F37" i="1"/>
  <c r="G37" i="1" s="1"/>
  <c r="I37" i="1" s="1"/>
  <c r="M40" i="1"/>
  <c r="O40" i="1" s="1"/>
  <c r="H39" i="1"/>
  <c r="L35" i="1"/>
  <c r="G36" i="1"/>
  <c r="C41" i="1"/>
  <c r="C42" i="1" s="1"/>
  <c r="AE38" i="1"/>
  <c r="R40" i="1"/>
  <c r="Q40" i="1" s="1"/>
  <c r="AB39" i="1"/>
  <c r="AA39" i="1"/>
  <c r="O39" i="1"/>
  <c r="C29" i="2"/>
  <c r="D28" i="2"/>
  <c r="H28" i="2" s="1"/>
  <c r="I28" i="2" s="1"/>
  <c r="M41" i="1"/>
  <c r="AF38" i="1"/>
  <c r="AC39" i="1"/>
  <c r="AD39" i="1"/>
  <c r="V40" i="1"/>
  <c r="AA40" i="1"/>
  <c r="AB40" i="1"/>
  <c r="K36" i="1" l="1"/>
  <c r="I36" i="1"/>
  <c r="K37" i="1"/>
  <c r="H40" i="1"/>
  <c r="N40" i="1"/>
  <c r="P40" i="1" s="1"/>
  <c r="F38" i="1"/>
  <c r="G38" i="1" s="1"/>
  <c r="L37" i="1"/>
  <c r="L36" i="1"/>
  <c r="AE39" i="1"/>
  <c r="R41" i="1"/>
  <c r="Q41" i="1" s="1"/>
  <c r="D41" i="1"/>
  <c r="U41" i="1" s="1"/>
  <c r="R42" i="1"/>
  <c r="Q42" i="1" s="1"/>
  <c r="C30" i="2"/>
  <c r="D29" i="2"/>
  <c r="H29" i="2" s="1"/>
  <c r="I29" i="2" s="1"/>
  <c r="M42" i="1"/>
  <c r="N41" i="1"/>
  <c r="P41" i="1" s="1"/>
  <c r="O41" i="1"/>
  <c r="AF39" i="1"/>
  <c r="D42" i="1"/>
  <c r="C43" i="1"/>
  <c r="AE40" i="1"/>
  <c r="AC40" i="1"/>
  <c r="AD40" i="1"/>
  <c r="K38" i="1" l="1"/>
  <c r="I38" i="1"/>
  <c r="H41" i="1"/>
  <c r="F39" i="1"/>
  <c r="G39" i="1" s="1"/>
  <c r="L38" i="1"/>
  <c r="H42" i="1"/>
  <c r="R43" i="1"/>
  <c r="Q43" i="1" s="1"/>
  <c r="C31" i="2"/>
  <c r="D30" i="2"/>
  <c r="H30" i="2" s="1"/>
  <c r="I30" i="2" s="1"/>
  <c r="M43" i="1"/>
  <c r="O42" i="1"/>
  <c r="N42" i="1"/>
  <c r="P42" i="1" s="1"/>
  <c r="C44" i="1"/>
  <c r="D43" i="1"/>
  <c r="U42" i="1"/>
  <c r="AA41" i="1"/>
  <c r="AB41" i="1"/>
  <c r="V41" i="1"/>
  <c r="AF40" i="1"/>
  <c r="F40" i="1" s="1"/>
  <c r="K39" i="1" l="1"/>
  <c r="I39" i="1"/>
  <c r="H43" i="1"/>
  <c r="L39" i="1"/>
  <c r="G40" i="1"/>
  <c r="R44" i="1"/>
  <c r="Q44" i="1" s="1"/>
  <c r="H44" i="1" s="1"/>
  <c r="C32" i="2"/>
  <c r="D32" i="2" s="1"/>
  <c r="H32" i="2" s="1"/>
  <c r="I32" i="2" s="1"/>
  <c r="D31" i="2"/>
  <c r="H31" i="2" s="1"/>
  <c r="I31" i="2" s="1"/>
  <c r="O43" i="1"/>
  <c r="N43" i="1"/>
  <c r="P43" i="1" s="1"/>
  <c r="M44" i="1"/>
  <c r="V42" i="1"/>
  <c r="AA42" i="1"/>
  <c r="AB42" i="1"/>
  <c r="AC41" i="1"/>
  <c r="AD41" i="1"/>
  <c r="D44" i="1"/>
  <c r="C45" i="1"/>
  <c r="U43" i="1"/>
  <c r="AE41" i="1"/>
  <c r="K40" i="1" l="1"/>
  <c r="I40" i="1"/>
  <c r="L40" i="1"/>
  <c r="R45" i="1"/>
  <c r="Q45" i="1" s="1"/>
  <c r="H45" i="1" s="1"/>
  <c r="M45" i="1"/>
  <c r="N44" i="1"/>
  <c r="P44" i="1" s="1"/>
  <c r="O44" i="1"/>
  <c r="AF41" i="1"/>
  <c r="F41" i="1" s="1"/>
  <c r="U44" i="1"/>
  <c r="AE42" i="1"/>
  <c r="AA43" i="1"/>
  <c r="AB43" i="1"/>
  <c r="V43" i="1"/>
  <c r="D45" i="1"/>
  <c r="C46" i="1"/>
  <c r="AC42" i="1"/>
  <c r="AD42" i="1"/>
  <c r="G41" i="1" l="1"/>
  <c r="R46" i="1"/>
  <c r="Q46" i="1" s="1"/>
  <c r="H46" i="1" s="1"/>
  <c r="M46" i="1"/>
  <c r="O45" i="1"/>
  <c r="N45" i="1"/>
  <c r="P45" i="1" s="1"/>
  <c r="AE43" i="1"/>
  <c r="AF42" i="1"/>
  <c r="F42" i="1" s="1"/>
  <c r="D46" i="1"/>
  <c r="U45" i="1"/>
  <c r="AA44" i="1"/>
  <c r="AB44" i="1"/>
  <c r="V44" i="1"/>
  <c r="AC43" i="1"/>
  <c r="AD43" i="1"/>
  <c r="K41" i="1" l="1"/>
  <c r="I41" i="1"/>
  <c r="G42" i="1"/>
  <c r="L41" i="1"/>
  <c r="O46" i="1"/>
  <c r="N46" i="1"/>
  <c r="P46" i="1" s="1"/>
  <c r="AF43" i="1"/>
  <c r="F43" i="1" s="1"/>
  <c r="AB45" i="1"/>
  <c r="V45" i="1"/>
  <c r="AA45" i="1"/>
  <c r="AC44" i="1"/>
  <c r="AD44" i="1"/>
  <c r="AE44" i="1"/>
  <c r="U46" i="1"/>
  <c r="K42" i="1" l="1"/>
  <c r="I42" i="1"/>
  <c r="G43" i="1"/>
  <c r="L42" i="1"/>
  <c r="AE45" i="1"/>
  <c r="AF44" i="1"/>
  <c r="F44" i="1" s="1"/>
  <c r="AC45" i="1"/>
  <c r="AD45" i="1"/>
  <c r="V46" i="1"/>
  <c r="AA46" i="1"/>
  <c r="AB46" i="1"/>
  <c r="K43" i="1" l="1"/>
  <c r="I43" i="1"/>
  <c r="G44" i="1"/>
  <c r="L43" i="1"/>
  <c r="AE46" i="1"/>
  <c r="AF45" i="1"/>
  <c r="F45" i="1" s="1"/>
  <c r="AC46" i="1"/>
  <c r="AD46" i="1"/>
  <c r="K44" i="1" l="1"/>
  <c r="I44" i="1"/>
  <c r="G45" i="1"/>
  <c r="L44" i="1"/>
  <c r="AF46" i="1"/>
  <c r="F46" i="1" s="1"/>
  <c r="K45" i="1" l="1"/>
  <c r="I45" i="1"/>
  <c r="G46" i="1"/>
  <c r="L45" i="1"/>
  <c r="K46" i="1" l="1"/>
  <c r="I46" i="1"/>
  <c r="L46" i="1"/>
  <c r="F32" i="1"/>
  <c r="F34" i="1"/>
  <c r="G32" i="1"/>
  <c r="I32" i="1"/>
  <c r="K32" i="1"/>
  <c r="L32" i="1"/>
  <c r="G34" i="1"/>
  <c r="I34" i="1"/>
  <c r="K34" i="1"/>
  <c r="L34" i="1"/>
  <c r="K47" i="1"/>
  <c r="G8" i="3"/>
  <c r="F8" i="3"/>
</calcChain>
</file>

<file path=xl/sharedStrings.xml><?xml version="1.0" encoding="utf-8"?>
<sst xmlns="http://schemas.openxmlformats.org/spreadsheetml/2006/main" count="119" uniqueCount="78">
  <si>
    <t>BẢNG TÍNH LÚN</t>
  </si>
  <si>
    <t>Kích thước móng</t>
  </si>
  <si>
    <t>l=</t>
  </si>
  <si>
    <t>m</t>
  </si>
  <si>
    <t>b=</t>
  </si>
  <si>
    <t>Tải trọng tiêu chuẩn trung bình dưới đáy móng</t>
  </si>
  <si>
    <r>
      <t>P</t>
    </r>
    <r>
      <rPr>
        <vertAlign val="superscript"/>
        <sz val="12"/>
        <color theme="1"/>
        <rFont val="Times New Roman"/>
        <family val="1"/>
      </rPr>
      <t>tc</t>
    </r>
    <r>
      <rPr>
        <vertAlign val="subscript"/>
        <sz val="12"/>
        <color theme="1"/>
        <rFont val="Times New Roman"/>
        <family val="1"/>
      </rPr>
      <t>tb</t>
    </r>
    <r>
      <rPr>
        <sz val="12"/>
        <color theme="1"/>
        <rFont val="Times New Roman"/>
        <family val="1"/>
      </rPr>
      <t>=</t>
    </r>
  </si>
  <si>
    <r>
      <t>kN/m</t>
    </r>
    <r>
      <rPr>
        <b/>
        <vertAlign val="superscript"/>
        <sz val="12"/>
        <color theme="1"/>
        <rFont val="Times New Roman"/>
        <family val="1"/>
      </rPr>
      <t>2</t>
    </r>
  </si>
  <si>
    <t>Thông số địa chất</t>
  </si>
  <si>
    <t>STT</t>
  </si>
  <si>
    <t>h(m)</t>
  </si>
  <si>
    <r>
      <t>E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</si>
  <si>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r>
      <rPr>
        <b/>
        <sz val="12"/>
        <rFont val="Symbol"/>
        <family val="1"/>
        <charset val="2"/>
      </rPr>
      <t>g</t>
    </r>
    <r>
      <rPr>
        <b/>
        <sz val="12"/>
        <rFont val="Times New Roman"/>
        <family val="1"/>
      </rPr>
      <t>(kN/m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</si>
  <si>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r>
      <rPr>
        <b/>
        <sz val="12"/>
        <rFont val="Symbol"/>
        <family val="1"/>
        <charset val="2"/>
      </rPr>
      <t>g</t>
    </r>
    <r>
      <rPr>
        <b/>
        <vertAlign val="subscript"/>
        <sz val="12"/>
        <rFont val="Times New Roman"/>
        <family val="1"/>
      </rPr>
      <t>đn</t>
    </r>
    <r>
      <rPr>
        <b/>
        <sz val="12"/>
        <rFont val="Times New Roman"/>
        <family val="1"/>
      </rPr>
      <t>(kN/m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</si>
  <si>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t>Độ sâu mực nước ngầm</t>
  </si>
  <si>
    <r>
      <t>h</t>
    </r>
    <r>
      <rPr>
        <vertAlign val="subscript"/>
        <sz val="12"/>
        <rFont val="Times New Roman"/>
        <family val="1"/>
      </rPr>
      <t>mnn</t>
    </r>
    <r>
      <rPr>
        <sz val="12"/>
        <rFont val="Times New Roman"/>
        <family val="1"/>
      </rPr>
      <t>=</t>
    </r>
  </si>
  <si>
    <t>Chiều sâu chôn móng</t>
  </si>
  <si>
    <t>h=</t>
  </si>
  <si>
    <t>XĐ đáy móng nằm ở lớp đất nào</t>
  </si>
  <si>
    <t>Lớp</t>
  </si>
  <si>
    <t>Ứng suất bản thân tại đáy móng</t>
  </si>
  <si>
    <t>đế móng cách MNN</t>
  </si>
  <si>
    <r>
      <rPr>
        <sz val="12"/>
        <color theme="1"/>
        <rFont val="Symbol"/>
        <family val="1"/>
        <charset val="2"/>
      </rPr>
      <t>s</t>
    </r>
    <r>
      <rPr>
        <vertAlign val="superscript"/>
        <sz val="12"/>
        <color theme="1"/>
        <rFont val="Times New Roman"/>
        <family val="1"/>
      </rPr>
      <t>bt</t>
    </r>
    <r>
      <rPr>
        <vertAlign val="subscript"/>
        <sz val="12"/>
        <color theme="1"/>
        <rFont val="Times New Roman"/>
        <family val="1"/>
      </rPr>
      <t>z=h</t>
    </r>
    <r>
      <rPr>
        <sz val="12"/>
        <color theme="1"/>
        <rFont val="Times New Roman"/>
        <family val="1"/>
      </rPr>
      <t>=</t>
    </r>
  </si>
  <si>
    <t>chữ đỏ tự nhập</t>
  </si>
  <si>
    <t>Ứng suất gây lún</t>
  </si>
  <si>
    <r>
      <rPr>
        <sz val="12"/>
        <color theme="1"/>
        <rFont val="Symbol"/>
        <family val="1"/>
        <charset val="2"/>
      </rPr>
      <t>s</t>
    </r>
    <r>
      <rPr>
        <vertAlign val="superscript"/>
        <sz val="12"/>
        <color theme="1"/>
        <rFont val="Times New Roman"/>
        <family val="1"/>
      </rPr>
      <t>gl</t>
    </r>
    <r>
      <rPr>
        <vertAlign val="subscript"/>
        <sz val="12"/>
        <color theme="1"/>
        <rFont val="Times New Roman"/>
        <family val="1"/>
      </rPr>
      <t>z=0</t>
    </r>
    <r>
      <rPr>
        <sz val="12"/>
        <color theme="1"/>
        <rFont val="Times New Roman"/>
        <family val="1"/>
      </rPr>
      <t>=</t>
    </r>
  </si>
  <si>
    <t>Chiều dầy các lớp đất</t>
  </si>
  <si>
    <t>hi=</t>
  </si>
  <si>
    <t>nhập gama</t>
  </si>
  <si>
    <t>Chiều dầy</t>
  </si>
  <si>
    <t>z(m)</t>
  </si>
  <si>
    <t>2z/b</t>
  </si>
  <si>
    <t>l/b</t>
  </si>
  <si>
    <t>k</t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</si>
  <si>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 xml:space="preserve">gl
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</si>
  <si>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 xml:space="preserve">bt
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</si>
  <si>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gl/bt</t>
  </si>
  <si>
    <r>
      <t>E</t>
    </r>
    <r>
      <rPr>
        <b/>
        <vertAlign val="subscript"/>
        <sz val="12"/>
        <color theme="1"/>
        <rFont val="Times New Roman"/>
        <family val="1"/>
      </rPr>
      <t xml:space="preserve">0
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</si>
  <si>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S(m)</t>
  </si>
  <si>
    <t>z1</t>
  </si>
  <si>
    <t>z2</t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</si>
  <si>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bt1</t>
    </r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</si>
  <si>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bt2</t>
    </r>
    <r>
      <rPr>
        <sz val="11"/>
        <color theme="1"/>
        <rFont val="Calibri"/>
        <family val="2"/>
        <scheme val="minor"/>
      </rPr>
      <t/>
    </r>
  </si>
  <si>
    <t>gama</t>
  </si>
  <si>
    <t>2z/b1</t>
  </si>
  <si>
    <t>2z/b2</t>
  </si>
  <si>
    <t>l/b1</t>
  </si>
  <si>
    <t>l/b2</t>
  </si>
  <si>
    <t>vị trí l/b1</t>
  </si>
  <si>
    <t>vị trí l/b2</t>
  </si>
  <si>
    <t>k1</t>
  </si>
  <si>
    <t>k2</t>
  </si>
  <si>
    <t>k3</t>
  </si>
  <si>
    <t>k4</t>
  </si>
  <si>
    <t>k5</t>
  </si>
  <si>
    <t>k6</t>
  </si>
  <si>
    <t>Bảng C.1 - Hệ số K</t>
  </si>
  <si>
    <t>m = 2z/b</t>
  </si>
  <si>
    <t>Hệ số a đối với các móng</t>
  </si>
  <si>
    <t>Băng, khi</t>
  </si>
  <si>
    <t>hoặc</t>
  </si>
  <si>
    <t>Chữ nhật ứng với tỷ số các cạnh n = l/b</t>
  </si>
  <si>
    <t>n ≥ 0</t>
  </si>
  <si>
    <t>m = z/r</t>
  </si>
  <si>
    <t>Hình tròn</t>
  </si>
  <si>
    <r>
      <rPr>
        <sz val="12"/>
        <color theme="1"/>
        <rFont val="Symbol"/>
        <family val="1"/>
        <charset val="2"/>
      </rPr>
      <t>S</t>
    </r>
    <r>
      <rPr>
        <sz val="13.8"/>
        <color theme="1"/>
        <rFont val="Times New Roman"/>
        <family val="1"/>
      </rPr>
      <t>S=</t>
    </r>
  </si>
  <si>
    <t>cm</t>
  </si>
  <si>
    <t>CHÚ THÍCH: Đối với những giá trị trung gian của m và n, đại lượng số a được xác định bằng cách nội suy.</t>
  </si>
  <si>
    <t>vtri của l/b1</t>
  </si>
  <si>
    <t>vtri của l/b2</t>
  </si>
  <si>
    <t>Vị trí</t>
  </si>
  <si>
    <t>A*X^2+B*X+C=0</t>
  </si>
  <si>
    <t>A</t>
  </si>
  <si>
    <t>B</t>
  </si>
  <si>
    <t>C</t>
  </si>
  <si>
    <t>X</t>
  </si>
  <si>
    <t>=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</si>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</sst>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70C0"/>
      <name val="Times New Roman"/>
      <family val="1"/>
    </font>
    <font>
      <sz val="12"/>
      <name val="Times New Roman"/>
      <family val="1"/>
    </font>
    <font>
      <sz val="12"/>
      <color theme="1"/>
      <name val="Symbol"/>
      <family val="1"/>
      <charset val="2"/>
    </font>
    <font>
      <vertAlign val="sub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Symbol"/>
      <family val="1"/>
      <charset val="2"/>
    </font>
    <font>
      <b/>
      <vertAlign val="subscript"/>
      <sz val="12"/>
      <color theme="1"/>
      <name val="Times New Roman"/>
      <family val="1"/>
    </font>
    <font>
      <vertAlign val="subscript"/>
      <sz val="12"/>
      <name val="Times New Roman"/>
      <family val="1"/>
    </font>
    <font>
      <b/>
      <sz val="12"/>
      <name val="Times New Roman"/>
      <family val="1"/>
    </font>
    <font>
      <b/>
      <sz val="12"/>
      <name val="Symbol"/>
      <family val="1"/>
      <charset val="2"/>
    </font>
    <font>
      <sz val="13.8"/>
      <color theme="1"/>
      <name val="Times New Roman"/>
      <family val="1"/>
    </font>
    <font>
      <b/>
      <vertAlign val="superscript"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2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Protection="1">
      <protection locked="0"/>
    </xf>
    <xf numFmtId="3" fontId="4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Protection="1">
      <protection locked="0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Protection="1">
      <protection locked="0"/>
    </xf>
    <xf numFmtId="0" fontId="18" fillId="0" borderId="2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1">
    <cellStyle name="Bình thường" xfId="0" builtinId="0"/>
  </cellStyles>
  <dxfs count="4"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10</xdr:row>
          <xdr:rowOff>47625</xdr:rowOff>
        </xdr:from>
        <xdr:to>
          <xdr:col>3</xdr:col>
          <xdr:colOff>476250</xdr:colOff>
          <xdr:row>11</xdr:row>
          <xdr:rowOff>123825</xdr:rowOff>
        </xdr:to>
        <xdr:sp macro="" textlink="">
          <xdr:nvSpPr>
            <xdr:cNvPr id="3076" name="CommandButton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10</xdr:row>
          <xdr:rowOff>95250</xdr:rowOff>
        </xdr:from>
        <xdr:to>
          <xdr:col>6</xdr:col>
          <xdr:colOff>762000</xdr:colOff>
          <xdr:row>12</xdr:row>
          <xdr:rowOff>28575</xdr:rowOff>
        </xdr:to>
        <xdr:sp macro="" textlink="">
          <xdr:nvSpPr>
            <xdr:cNvPr id="3086" name="CommandButton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62"/>
  <sheetViews>
    <sheetView tabSelected="1" zoomScalePageLayoutView="130" workbookViewId="0">
      <selection activeCell="AI11" sqref="AI11"/>
    </sheetView>
  </sheetViews>
  <sheetFormatPr defaultRowHeight="15.75"/>
  <cols>
    <col min="1" max="1" width="9.140625" style="1"/>
    <col min="2" max="2" width="12.42578125" style="1" customWidth="1"/>
    <col min="3" max="3" width="10.5703125" style="1" bestFit="1" customWidth="1"/>
    <col min="4" max="4" width="10.7109375" style="1" customWidth="1"/>
    <col min="5" max="5" width="11.42578125" style="1" customWidth="1"/>
    <col min="6" max="6" width="10" style="1" customWidth="1"/>
    <col min="7" max="8" width="9.140625" style="1"/>
    <col min="9" max="9" width="11.7109375" style="1" bestFit="1" customWidth="1"/>
    <col min="10" max="10" width="9.140625" style="1"/>
    <col min="11" max="11" width="8.85546875" style="1" customWidth="1"/>
    <col min="12" max="12" width="0.140625" style="1" hidden="1" customWidth="1"/>
    <col min="13" max="13" width="8.5703125" style="1" hidden="1" customWidth="1"/>
    <col min="14" max="14" width="3.28515625" style="1" hidden="1" customWidth="1"/>
    <col min="15" max="16" width="9" style="1" hidden="1" customWidth="1"/>
    <col min="17" max="17" width="14" style="1" customWidth="1"/>
    <col min="18" max="18" width="18.85546875" style="1" bestFit="1" customWidth="1"/>
    <col min="19" max="19" width="10.5703125" style="1" customWidth="1"/>
    <col min="20" max="20" width="8.140625" style="1" customWidth="1"/>
    <col min="21" max="32" width="9.140625" style="1" hidden="1" customWidth="1"/>
    <col min="33" max="35" width="9.140625" style="1" customWidth="1"/>
    <col min="36" max="36" width="9.140625" style="1" hidden="1" customWidth="1"/>
    <col min="37" max="37" width="9.140625" style="1" customWidth="1"/>
    <col min="38" max="16384" width="9.140625" style="1"/>
  </cols>
  <sheetData>
    <row r="1" spans="1:2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22">
      <c r="A2" s="1" t="s">
        <v>1</v>
      </c>
    </row>
    <row r="3" spans="1:22" ht="38.25" customHeight="1">
      <c r="B3" s="1" t="s">
        <v>2</v>
      </c>
      <c r="C3" s="29">
        <v>8.2799999999999994</v>
      </c>
      <c r="D3" s="1" t="s">
        <v>3</v>
      </c>
      <c r="N3" s="15"/>
      <c r="O3" s="15"/>
      <c r="P3" s="15"/>
      <c r="Q3"/>
      <c r="R3"/>
      <c r="S3"/>
      <c r="T3"/>
      <c r="U3" s="12"/>
      <c r="V3" s="11"/>
    </row>
    <row r="4" spans="1:22">
      <c r="B4" s="1" t="s">
        <v>4</v>
      </c>
      <c r="C4" s="29">
        <v>6.78</v>
      </c>
      <c r="D4" s="1" t="s">
        <v>3</v>
      </c>
      <c r="N4" s="16"/>
      <c r="O4" s="16"/>
      <c r="P4" s="16"/>
      <c r="Q4"/>
      <c r="R4"/>
      <c r="S4"/>
      <c r="T4"/>
      <c r="U4" s="9"/>
      <c r="V4" s="9"/>
    </row>
    <row r="5" spans="1:22">
      <c r="A5" s="1" t="s">
        <v>5</v>
      </c>
      <c r="N5" s="16"/>
      <c r="O5" s="16"/>
      <c r="P5" s="16"/>
      <c r="Q5"/>
      <c r="R5"/>
      <c r="S5"/>
      <c r="T5"/>
      <c r="U5" s="9"/>
      <c r="V5" s="9"/>
    </row>
    <row r="6" spans="1:22" ht="20.25">
      <c r="B6" s="1" t="s">
        <v>6</v>
      </c>
      <c r="C6" s="29">
        <v>413.5</v>
      </c>
      <c r="D6" s="8" t="s">
        <v>7</v>
      </c>
      <c r="H6" s="41"/>
      <c r="I6" s="42"/>
      <c r="J6" s="42"/>
      <c r="K6" s="42"/>
      <c r="L6" s="42"/>
      <c r="M6" s="42"/>
      <c r="N6" s="42"/>
      <c r="O6" s="42"/>
      <c r="P6" s="42"/>
      <c r="Q6" s="43"/>
      <c r="R6"/>
      <c r="S6"/>
      <c r="T6"/>
      <c r="U6" s="9"/>
      <c r="V6" s="9"/>
    </row>
    <row r="7" spans="1:22">
      <c r="A7" s="1" t="s">
        <v>8</v>
      </c>
      <c r="D7" s="4"/>
      <c r="E7" s="8"/>
      <c r="H7" s="44"/>
      <c r="I7" s="45"/>
      <c r="J7" s="45"/>
      <c r="K7" s="45"/>
      <c r="L7" s="45"/>
      <c r="M7" s="45"/>
      <c r="N7" s="45"/>
      <c r="O7" s="45"/>
      <c r="P7" s="45"/>
      <c r="Q7" s="46"/>
      <c r="R7"/>
      <c r="S7"/>
      <c r="T7"/>
      <c r="U7" s="9"/>
      <c r="V7" s="9"/>
    </row>
    <row r="8" spans="1:22" ht="18.75">
      <c r="A8" s="10" t="s">
        <v>9</v>
      </c>
      <c r="B8" s="10" t="s">
        <v>10</v>
      </c>
      <c r="C8" s="10" t="s">
        <v>11</v>
      </c>
      <c r="D8" s="20" t="s">
        <v>12</v>
      </c>
      <c r="E8" s="20" t="s">
        <v>13</v>
      </c>
      <c r="H8" s="47"/>
      <c r="I8" s="48"/>
      <c r="J8" s="48"/>
      <c r="K8" s="48"/>
      <c r="L8" s="48"/>
      <c r="M8" s="48"/>
      <c r="N8" s="48"/>
      <c r="O8" s="48"/>
      <c r="P8" s="48"/>
      <c r="Q8" s="49"/>
    </row>
    <row r="9" spans="1:22">
      <c r="A9" s="10">
        <v>0</v>
      </c>
      <c r="B9" s="30">
        <v>0.8</v>
      </c>
      <c r="C9" s="31"/>
      <c r="D9" s="30">
        <v>16.5</v>
      </c>
      <c r="E9" s="31"/>
    </row>
    <row r="10" spans="1:22">
      <c r="A10" s="3">
        <v>1</v>
      </c>
      <c r="B10" s="32">
        <v>10</v>
      </c>
      <c r="C10" s="32">
        <v>5990</v>
      </c>
      <c r="D10" s="32">
        <v>16.5</v>
      </c>
      <c r="E10" s="32"/>
    </row>
    <row r="11" spans="1:22">
      <c r="A11" s="3">
        <v>2</v>
      </c>
      <c r="B11" s="32">
        <v>0</v>
      </c>
      <c r="C11" s="32">
        <v>7350</v>
      </c>
      <c r="D11" s="32">
        <v>18.3</v>
      </c>
      <c r="E11" s="32"/>
    </row>
    <row r="12" spans="1:22">
      <c r="A12" s="3">
        <v>3</v>
      </c>
      <c r="B12" s="32"/>
      <c r="C12" s="32">
        <v>7350</v>
      </c>
      <c r="D12" s="32">
        <v>18.600000000000001</v>
      </c>
      <c r="E12" s="32">
        <v>9.3800000000000008</v>
      </c>
    </row>
    <row r="13" spans="1:22">
      <c r="A13" s="1" t="s">
        <v>14</v>
      </c>
      <c r="B13" s="4"/>
      <c r="C13" s="4"/>
      <c r="D13" s="4"/>
      <c r="F13" s="4"/>
    </row>
    <row r="14" spans="1:22" ht="18.75">
      <c r="B14" s="7" t="s">
        <v>15</v>
      </c>
      <c r="C14" s="29">
        <v>0.7</v>
      </c>
      <c r="D14" s="7" t="s">
        <v>3</v>
      </c>
      <c r="F14" s="4"/>
    </row>
    <row r="15" spans="1:22">
      <c r="A15" s="1" t="s">
        <v>16</v>
      </c>
      <c r="D15" s="7"/>
      <c r="F15" s="8"/>
      <c r="H15" s="27"/>
      <c r="I15" s="27"/>
    </row>
    <row r="16" spans="1:22">
      <c r="B16" s="1" t="s">
        <v>17</v>
      </c>
      <c r="C16" s="29">
        <v>1.6</v>
      </c>
      <c r="D16" s="7" t="s">
        <v>3</v>
      </c>
      <c r="F16" s="8"/>
      <c r="H16" s="27" t="s">
        <v>18</v>
      </c>
      <c r="R16" s="1" t="s">
        <v>19</v>
      </c>
      <c r="S16" s="27">
        <v>2</v>
      </c>
    </row>
    <row r="17" spans="1:45">
      <c r="A17" s="1" t="s">
        <v>20</v>
      </c>
      <c r="C17" s="25"/>
      <c r="D17" s="7"/>
      <c r="F17" s="8"/>
      <c r="H17" s="27" t="s">
        <v>21</v>
      </c>
      <c r="S17" s="27">
        <v>0</v>
      </c>
      <c r="T17" s="1" t="s">
        <v>3</v>
      </c>
    </row>
    <row r="18" spans="1:45" ht="20.25">
      <c r="B18" s="1" t="s">
        <v>22</v>
      </c>
      <c r="C18" s="27">
        <v>330.78</v>
      </c>
      <c r="D18" s="8" t="s">
        <v>7</v>
      </c>
      <c r="H18" s="27" t="s">
        <v>23</v>
      </c>
    </row>
    <row r="19" spans="1:45" ht="20.25">
      <c r="A19" s="1" t="s">
        <v>24</v>
      </c>
      <c r="C19" s="14" t="s">
        <v>25</v>
      </c>
      <c r="D19" s="28">
        <v>82.72</v>
      </c>
      <c r="E19" s="8" t="s">
        <v>7</v>
      </c>
    </row>
    <row r="20" spans="1:45">
      <c r="A20" s="1" t="s">
        <v>26</v>
      </c>
      <c r="D20" s="7"/>
      <c r="Q20" s="4"/>
    </row>
    <row r="21" spans="1:45">
      <c r="B21" s="1" t="s">
        <v>27</v>
      </c>
      <c r="C21" s="29">
        <v>0.8</v>
      </c>
      <c r="D21" s="7" t="s">
        <v>3</v>
      </c>
    </row>
    <row r="22" spans="1:45">
      <c r="D22" s="4"/>
      <c r="Q22" s="1" t="s">
        <v>28</v>
      </c>
    </row>
    <row r="23" spans="1:45" ht="50.25" customHeight="1">
      <c r="A23" s="10" t="s">
        <v>9</v>
      </c>
      <c r="B23" s="10" t="s">
        <v>29</v>
      </c>
      <c r="C23" s="10" t="s">
        <v>30</v>
      </c>
      <c r="D23" s="10" t="s">
        <v>31</v>
      </c>
      <c r="E23" s="10" t="s">
        <v>32</v>
      </c>
      <c r="F23" s="10" t="s">
        <v>33</v>
      </c>
      <c r="G23" s="11" t="s">
        <v>34</v>
      </c>
      <c r="H23" s="11" t="s">
        <v>35</v>
      </c>
      <c r="I23" s="11" t="s">
        <v>36</v>
      </c>
      <c r="J23" s="11" t="s">
        <v>37</v>
      </c>
      <c r="K23" s="10" t="s">
        <v>38</v>
      </c>
      <c r="L23" s="11" t="s">
        <v>34</v>
      </c>
      <c r="M23" s="9" t="s">
        <v>39</v>
      </c>
      <c r="N23" s="13" t="s">
        <v>40</v>
      </c>
      <c r="O23" s="13" t="s">
        <v>41</v>
      </c>
      <c r="P23" s="13" t="s">
        <v>42</v>
      </c>
      <c r="Q23" s="1" t="s">
        <v>43</v>
      </c>
      <c r="U23" s="1" t="s">
        <v>44</v>
      </c>
      <c r="V23" s="1" t="s">
        <v>45</v>
      </c>
      <c r="W23" s="1" t="s">
        <v>46</v>
      </c>
      <c r="X23" s="1" t="s">
        <v>47</v>
      </c>
      <c r="Y23" s="1" t="s">
        <v>48</v>
      </c>
      <c r="Z23" s="1" t="s">
        <v>49</v>
      </c>
      <c r="AA23" s="1" t="s">
        <v>50</v>
      </c>
      <c r="AB23" s="1" t="s">
        <v>51</v>
      </c>
      <c r="AC23" s="1" t="s">
        <v>52</v>
      </c>
      <c r="AD23" s="1" t="s">
        <v>53</v>
      </c>
      <c r="AE23" s="1" t="s">
        <v>54</v>
      </c>
      <c r="AF23" s="1" t="s">
        <v>55</v>
      </c>
    </row>
    <row r="24" spans="1:45">
      <c r="A24" s="3">
        <v>1</v>
      </c>
      <c r="B24" s="30">
        <v>0</v>
      </c>
      <c r="C24" s="9">
        <v>0</v>
      </c>
      <c r="D24" s="9">
        <v>0</v>
      </c>
      <c r="E24" s="18">
        <f>$C$3/$C$4</f>
        <v>1.2212389380530972</v>
      </c>
      <c r="F24" s="9">
        <v>1</v>
      </c>
      <c r="G24" s="9">
        <f>ROUND(F24*$D$19,3)</f>
        <v>82.72</v>
      </c>
      <c r="H24" s="9">
        <f>C18</f>
        <v>330.78</v>
      </c>
      <c r="I24" s="9">
        <f>IF(G24/H24&gt;0.2,ROUND(G24/H24,2),"hết lún")</f>
        <v>0.25</v>
      </c>
      <c r="J24" s="9" t="str">
        <f>IF(S24="lớp 3",$C$12,"")</f>
        <v/>
      </c>
      <c r="K24" s="9"/>
      <c r="L24" s="17">
        <f t="shared" ref="L24:L46" si="0">-G24</f>
        <v>-82.72</v>
      </c>
      <c r="M24" s="9" t="e">
        <f>VLOOKUP(C16,T4:T7,1)</f>
        <v>#N/A</v>
      </c>
      <c r="N24" s="13" t="e">
        <f t="shared" ref="N24:N46" si="1">VLOOKUP(M24,$S$5:$T$7,2,0)</f>
        <v>#N/A</v>
      </c>
      <c r="O24" s="13" t="e">
        <f t="shared" ref="O24:O46" si="2">VLOOKUP(M24,$T$4:$V$7,3,0)</f>
        <v>#N/A</v>
      </c>
      <c r="P24" s="13" t="e">
        <f t="shared" ref="P24:P46" si="3">VLOOKUP(N24,$T$4:$V$7,3)</f>
        <v>#N/A</v>
      </c>
      <c r="Q24" s="27">
        <f>IF(R24="dùng gama tự nhiên",$D$12,$E$12)</f>
        <v>18.600000000000001</v>
      </c>
      <c r="R24" s="1" t="str">
        <f>IF(C24&gt;$S$17,"dùng gama đẩy nổi","dùng gama tự nhiên")</f>
        <v>dùng gama tự nhiên</v>
      </c>
      <c r="AK24" s="2" t="s">
        <v>56</v>
      </c>
      <c r="AL24" s="3"/>
      <c r="AM24" s="3"/>
      <c r="AN24" s="3"/>
      <c r="AO24" s="3"/>
      <c r="AP24" s="3"/>
      <c r="AQ24" s="3"/>
      <c r="AR24" s="3"/>
      <c r="AS24" s="3"/>
    </row>
    <row r="25" spans="1:45">
      <c r="A25" s="3">
        <v>2</v>
      </c>
      <c r="B25" s="34">
        <f>S17</f>
        <v>0</v>
      </c>
      <c r="C25" s="9">
        <f>B25</f>
        <v>0</v>
      </c>
      <c r="D25" s="18">
        <f>2*C25/$C$4</f>
        <v>0</v>
      </c>
      <c r="E25" s="18">
        <f>$C$3/$C$4</f>
        <v>1.2212389380530972</v>
      </c>
      <c r="F25" s="18">
        <f t="shared" ref="F25:F26" si="4">FORECAST(D25,AE25:AF25,U25:V25)</f>
        <v>1</v>
      </c>
      <c r="G25" s="9">
        <f t="shared" ref="G25:G26" si="5">ROUND(F25*$D$19,3)</f>
        <v>82.72</v>
      </c>
      <c r="H25" s="9">
        <f t="shared" ref="H25:H26" si="6">H24+Q25*B25</f>
        <v>330.78</v>
      </c>
      <c r="I25" s="9">
        <f t="shared" ref="I25:I46" si="7">IF(G25/H25&gt;0.2,ROUND(G25/H25,2),"hết lún")</f>
        <v>0.25</v>
      </c>
      <c r="J25" s="9">
        <f>IF($S$16=3,Q23,C$11)</f>
        <v>7350</v>
      </c>
      <c r="K25" s="9">
        <f>ROUND(IF((H25/5)&gt;=G25,0,0.8/J25*B25*(G24+G25)/2),4)</f>
        <v>0</v>
      </c>
      <c r="L25" s="17">
        <f t="shared" si="0"/>
        <v>-82.72</v>
      </c>
      <c r="M25" s="3" t="e">
        <f t="shared" ref="M25:M46" si="8">VLOOKUP($C$16+C25,$T$4:$T$7,1)</f>
        <v>#N/A</v>
      </c>
      <c r="N25" s="13" t="e">
        <f t="shared" si="1"/>
        <v>#N/A</v>
      </c>
      <c r="O25" s="13" t="e">
        <f t="shared" si="2"/>
        <v>#N/A</v>
      </c>
      <c r="P25" s="13" t="e">
        <f t="shared" si="3"/>
        <v>#N/A</v>
      </c>
      <c r="Q25" s="27">
        <f t="shared" ref="Q25:Q46" si="9">IF(R25="dùng gama tự nhiên",$D$12,$E$12)</f>
        <v>18.600000000000001</v>
      </c>
      <c r="R25" s="1" t="str">
        <f t="shared" ref="R25:R46" si="10">IF(C25&gt;$S$17,"dùng gama đẩy nổi","dùng gama tự nhiên")</f>
        <v>dùng gama tự nhiên</v>
      </c>
      <c r="U25" s="1">
        <f t="shared" ref="U25:U46" si="11">VLOOKUP(D25,$AK$29:$AK$56,1)</f>
        <v>0</v>
      </c>
      <c r="V25" s="1">
        <f t="shared" ref="V25:V35" si="12">VLOOKUP(U25,$AJ$30:$AK$56,2,0)</f>
        <v>0.4</v>
      </c>
      <c r="W25" s="1">
        <f t="shared" ref="W25:W46" si="13">HLOOKUP(E25,$AM$27:$AR$27,1)</f>
        <v>1</v>
      </c>
      <c r="X25" s="1">
        <f t="shared" ref="X25:X35" si="14">HLOOKUP(W25,$AL$61:$AR$62,2,0)</f>
        <v>1.4</v>
      </c>
      <c r="Y25" s="1">
        <f t="shared" ref="Y25:Y35" si="15">HLOOKUP(W25,$AM$27:$AR$28,2,0)</f>
        <v>3</v>
      </c>
      <c r="Z25" s="1">
        <f t="shared" ref="Z25:Z35" si="16">HLOOKUP(X25,$AM$27:$AR$28,2,0)</f>
        <v>4</v>
      </c>
      <c r="AA25" s="1">
        <f t="shared" ref="AA25:AA35" si="17">VLOOKUP(U25,$AK$28:$AS$56,Y25,0)</f>
        <v>1</v>
      </c>
      <c r="AB25" s="1">
        <f t="shared" ref="AB25:AB35" si="18">VLOOKUP(U25,$AK$28:$AS$56,Z25,0)</f>
        <v>1</v>
      </c>
      <c r="AC25" s="1">
        <f t="shared" ref="AC25:AC35" si="19">VLOOKUP(V25,$AK$28:$AS$56,Y25,0)</f>
        <v>0.96</v>
      </c>
      <c r="AD25" s="1">
        <f t="shared" ref="AD25:AD35" si="20">VLOOKUP(V25,$AK$28:$AS$56,Z25,0)</f>
        <v>0.97199999999999998</v>
      </c>
      <c r="AE25" s="1">
        <f t="shared" ref="AE25:AE46" si="21">FORECAST(E25,AA25:AB25,W25:X25)</f>
        <v>1</v>
      </c>
      <c r="AF25" s="1">
        <f t="shared" ref="AF25:AF46" si="22">FORECAST(E25,AC25:AD25,W25:X25)</f>
        <v>0.96663716814159284</v>
      </c>
      <c r="AK25" s="35" t="s">
        <v>57</v>
      </c>
      <c r="AL25" s="36" t="s">
        <v>58</v>
      </c>
      <c r="AM25" s="36"/>
      <c r="AN25" s="36"/>
      <c r="AO25" s="36"/>
      <c r="AP25" s="36"/>
      <c r="AQ25" s="36"/>
      <c r="AR25" s="36"/>
      <c r="AS25" s="35" t="s">
        <v>59</v>
      </c>
    </row>
    <row r="26" spans="1:45">
      <c r="A26" s="3">
        <v>3</v>
      </c>
      <c r="B26" s="34">
        <f t="shared" ref="B26:B46" si="23">IF(AND(A24*$C$21&lt;$B$10-$C$16,A25*$C$21&gt;$B$10-$C$16),$B$10-$C$16-C25,$C$21)</f>
        <v>0.8</v>
      </c>
      <c r="C26" s="9">
        <f>B26+C25</f>
        <v>0.8</v>
      </c>
      <c r="D26" s="18">
        <f t="shared" ref="D26:D35" si="24">2*C26/$C$4</f>
        <v>0.2359882005899705</v>
      </c>
      <c r="E26" s="18">
        <f t="shared" ref="E26:E46" si="25">$C$3/$C$4</f>
        <v>1.2212389380530972</v>
      </c>
      <c r="F26" s="18">
        <f t="shared" si="4"/>
        <v>0.98031691335787186</v>
      </c>
      <c r="G26" s="9">
        <f t="shared" si="5"/>
        <v>81.091999999999999</v>
      </c>
      <c r="H26" s="9">
        <f t="shared" si="6"/>
        <v>338.28399999999999</v>
      </c>
      <c r="I26" s="9">
        <f t="shared" si="7"/>
        <v>0.24</v>
      </c>
      <c r="J26" s="9">
        <f>IF($S$16=3,C$11,C$12)</f>
        <v>7350</v>
      </c>
      <c r="K26" s="9">
        <f t="shared" ref="K26:K46" si="26">ROUND(IF((H26/5)&gt;=G26,0,0.8/J26*B26*(G25+G26)/2),4)</f>
        <v>7.1000000000000004E-3</v>
      </c>
      <c r="L26" s="17">
        <f t="shared" si="0"/>
        <v>-81.091999999999999</v>
      </c>
      <c r="M26" s="3" t="e">
        <f t="shared" si="8"/>
        <v>#N/A</v>
      </c>
      <c r="N26" s="13" t="e">
        <f t="shared" si="1"/>
        <v>#N/A</v>
      </c>
      <c r="O26" s="13" t="e">
        <f t="shared" si="2"/>
        <v>#N/A</v>
      </c>
      <c r="P26" s="13" t="e">
        <f t="shared" si="3"/>
        <v>#N/A</v>
      </c>
      <c r="Q26" s="27">
        <f t="shared" si="9"/>
        <v>9.3800000000000008</v>
      </c>
      <c r="R26" s="1" t="str">
        <f t="shared" si="10"/>
        <v>dùng gama đẩy nổi</v>
      </c>
      <c r="U26" s="1">
        <f t="shared" si="11"/>
        <v>0</v>
      </c>
      <c r="V26" s="1">
        <f t="shared" si="12"/>
        <v>0.4</v>
      </c>
      <c r="W26" s="1">
        <f t="shared" si="13"/>
        <v>1</v>
      </c>
      <c r="X26" s="1">
        <f t="shared" si="14"/>
        <v>1.4</v>
      </c>
      <c r="Y26" s="1">
        <f t="shared" si="15"/>
        <v>3</v>
      </c>
      <c r="Z26" s="1">
        <f t="shared" si="16"/>
        <v>4</v>
      </c>
      <c r="AA26" s="1">
        <f t="shared" si="17"/>
        <v>1</v>
      </c>
      <c r="AB26" s="1">
        <f t="shared" si="18"/>
        <v>1</v>
      </c>
      <c r="AC26" s="1">
        <f t="shared" si="19"/>
        <v>0.96</v>
      </c>
      <c r="AD26" s="1">
        <f t="shared" si="20"/>
        <v>0.97199999999999998</v>
      </c>
      <c r="AE26" s="1">
        <f t="shared" si="21"/>
        <v>1</v>
      </c>
      <c r="AF26" s="1">
        <f t="shared" si="22"/>
        <v>0.96663716814159284</v>
      </c>
      <c r="AK26" s="35" t="s">
        <v>60</v>
      </c>
      <c r="AL26" s="36" t="s">
        <v>61</v>
      </c>
      <c r="AM26" s="36"/>
      <c r="AN26" s="36"/>
      <c r="AO26" s="36"/>
      <c r="AP26" s="36"/>
      <c r="AQ26" s="36"/>
      <c r="AR26" s="36"/>
      <c r="AS26" s="35" t="s">
        <v>62</v>
      </c>
    </row>
    <row r="27" spans="1:45">
      <c r="A27" s="3">
        <v>4</v>
      </c>
      <c r="B27" s="30">
        <f>IF(AND(A25*$C$21&lt;$B$10-$C$16,A26*$C$21&gt;$B$10-$C$16),$B$10-$C$16-C26,$C$21)</f>
        <v>0.8</v>
      </c>
      <c r="C27" s="9">
        <f t="shared" ref="C27:C34" si="27">B27+C26</f>
        <v>1.6</v>
      </c>
      <c r="D27" s="18">
        <f t="shared" si="24"/>
        <v>0.471976401179941</v>
      </c>
      <c r="E27" s="18">
        <f t="shared" si="25"/>
        <v>1.2212389380530972</v>
      </c>
      <c r="F27" s="18">
        <f t="shared" ref="F27:F46" si="28">FORECAST(D27,AE27:AF27,U27:V27)</f>
        <v>0.94142950374605161</v>
      </c>
      <c r="G27" s="9">
        <f t="shared" ref="G27:G46" si="29">ROUND(F27*$D$19,3)</f>
        <v>77.875</v>
      </c>
      <c r="H27" s="9">
        <f t="shared" ref="H27:H46" si="30">H26+Q27*B27</f>
        <v>345.78800000000001</v>
      </c>
      <c r="I27" s="9">
        <f t="shared" si="7"/>
        <v>0.23</v>
      </c>
      <c r="J27" s="9">
        <f t="shared" ref="J27:J46" si="31">IF($S$16=3,C$11,C$12)</f>
        <v>7350</v>
      </c>
      <c r="K27" s="9">
        <f t="shared" si="26"/>
        <v>6.8999999999999999E-3</v>
      </c>
      <c r="L27" s="17">
        <f t="shared" si="0"/>
        <v>-77.875</v>
      </c>
      <c r="M27" s="3" t="e">
        <f t="shared" si="8"/>
        <v>#N/A</v>
      </c>
      <c r="N27" s="13" t="e">
        <f t="shared" si="1"/>
        <v>#N/A</v>
      </c>
      <c r="O27" s="13" t="e">
        <f t="shared" si="2"/>
        <v>#N/A</v>
      </c>
      <c r="P27" s="13" t="e">
        <f t="shared" si="3"/>
        <v>#N/A</v>
      </c>
      <c r="Q27" s="27">
        <f t="shared" si="9"/>
        <v>9.3800000000000008</v>
      </c>
      <c r="R27" s="1" t="str">
        <f t="shared" si="10"/>
        <v>dùng gama đẩy nổi</v>
      </c>
      <c r="U27" s="1">
        <f t="shared" si="11"/>
        <v>0.4</v>
      </c>
      <c r="V27" s="1">
        <f t="shared" si="12"/>
        <v>0.8</v>
      </c>
      <c r="W27" s="1">
        <f t="shared" si="13"/>
        <v>1</v>
      </c>
      <c r="X27" s="1">
        <f t="shared" si="14"/>
        <v>1.4</v>
      </c>
      <c r="Y27" s="1">
        <f t="shared" si="15"/>
        <v>3</v>
      </c>
      <c r="Z27" s="1">
        <f t="shared" si="16"/>
        <v>4</v>
      </c>
      <c r="AA27" s="1">
        <f t="shared" si="17"/>
        <v>0.96</v>
      </c>
      <c r="AB27" s="1">
        <f t="shared" si="18"/>
        <v>0.97199999999999998</v>
      </c>
      <c r="AC27" s="1">
        <f t="shared" si="19"/>
        <v>0.8</v>
      </c>
      <c r="AD27" s="1">
        <f t="shared" si="20"/>
        <v>0.84799999999999998</v>
      </c>
      <c r="AE27" s="1">
        <f t="shared" si="21"/>
        <v>0.96663716814159284</v>
      </c>
      <c r="AF27" s="1">
        <f t="shared" si="22"/>
        <v>0.82654867256637177</v>
      </c>
      <c r="AK27" s="35" t="s">
        <v>63</v>
      </c>
      <c r="AL27" s="35" t="s">
        <v>64</v>
      </c>
      <c r="AM27" s="35">
        <v>1</v>
      </c>
      <c r="AN27" s="35">
        <v>1.4</v>
      </c>
      <c r="AO27" s="35">
        <v>1.8</v>
      </c>
      <c r="AP27" s="35">
        <v>2.4</v>
      </c>
      <c r="AQ27" s="35">
        <v>3.2</v>
      </c>
      <c r="AR27" s="35">
        <v>5</v>
      </c>
      <c r="AS27" s="5"/>
    </row>
    <row r="28" spans="1:45">
      <c r="A28" s="3">
        <v>5</v>
      </c>
      <c r="B28" s="30">
        <f t="shared" si="23"/>
        <v>0.8</v>
      </c>
      <c r="C28" s="9">
        <f t="shared" si="27"/>
        <v>2.4000000000000004</v>
      </c>
      <c r="D28" s="18">
        <f t="shared" si="24"/>
        <v>0.70796460176991161</v>
      </c>
      <c r="E28" s="18">
        <f t="shared" si="25"/>
        <v>1.2212389380530972</v>
      </c>
      <c r="F28" s="18">
        <f t="shared" si="28"/>
        <v>0.85878142376067046</v>
      </c>
      <c r="G28" s="9">
        <f t="shared" si="29"/>
        <v>71.037999999999997</v>
      </c>
      <c r="H28" s="9">
        <f t="shared" si="30"/>
        <v>353.29200000000003</v>
      </c>
      <c r="I28" s="9">
        <f t="shared" si="7"/>
        <v>0.2</v>
      </c>
      <c r="J28" s="9">
        <f t="shared" si="31"/>
        <v>7350</v>
      </c>
      <c r="K28" s="9">
        <f t="shared" si="26"/>
        <v>6.4999999999999997E-3</v>
      </c>
      <c r="L28" s="17">
        <f t="shared" si="0"/>
        <v>-71.037999999999997</v>
      </c>
      <c r="M28" s="3" t="e">
        <f t="shared" si="8"/>
        <v>#N/A</v>
      </c>
      <c r="N28" s="13" t="e">
        <f t="shared" si="1"/>
        <v>#N/A</v>
      </c>
      <c r="O28" s="13" t="e">
        <f t="shared" si="2"/>
        <v>#N/A</v>
      </c>
      <c r="P28" s="13" t="e">
        <f t="shared" si="3"/>
        <v>#N/A</v>
      </c>
      <c r="Q28" s="27">
        <f t="shared" si="9"/>
        <v>9.3800000000000008</v>
      </c>
      <c r="R28" s="1" t="str">
        <f t="shared" si="10"/>
        <v>dùng gama đẩy nổi</v>
      </c>
      <c r="U28" s="1">
        <f t="shared" si="11"/>
        <v>0.4</v>
      </c>
      <c r="V28" s="1">
        <f t="shared" si="12"/>
        <v>0.8</v>
      </c>
      <c r="W28" s="1">
        <f t="shared" si="13"/>
        <v>1</v>
      </c>
      <c r="X28" s="1">
        <f t="shared" si="14"/>
        <v>1.4</v>
      </c>
      <c r="Y28" s="1">
        <f t="shared" si="15"/>
        <v>3</v>
      </c>
      <c r="Z28" s="1">
        <f t="shared" si="16"/>
        <v>4</v>
      </c>
      <c r="AA28" s="1">
        <f t="shared" si="17"/>
        <v>0.96</v>
      </c>
      <c r="AB28" s="1">
        <f t="shared" si="18"/>
        <v>0.97199999999999998</v>
      </c>
      <c r="AC28" s="1">
        <f t="shared" si="19"/>
        <v>0.8</v>
      </c>
      <c r="AD28" s="1">
        <f t="shared" si="20"/>
        <v>0.84799999999999998</v>
      </c>
      <c r="AE28" s="1">
        <f t="shared" si="21"/>
        <v>0.96663716814159284</v>
      </c>
      <c r="AF28" s="1">
        <f t="shared" si="22"/>
        <v>0.82654867256637177</v>
      </c>
      <c r="AK28" s="23">
        <v>1</v>
      </c>
      <c r="AL28" s="23">
        <v>2</v>
      </c>
      <c r="AM28" s="23">
        <v>3</v>
      </c>
      <c r="AN28" s="23">
        <v>4</v>
      </c>
      <c r="AO28" s="23">
        <v>5</v>
      </c>
      <c r="AP28" s="23">
        <v>6</v>
      </c>
      <c r="AQ28" s="23">
        <v>7</v>
      </c>
      <c r="AR28" s="23">
        <v>8</v>
      </c>
      <c r="AS28" s="23">
        <v>9</v>
      </c>
    </row>
    <row r="29" spans="1:45">
      <c r="A29" s="3">
        <v>6</v>
      </c>
      <c r="B29" s="30">
        <f t="shared" si="23"/>
        <v>0.8</v>
      </c>
      <c r="C29" s="9">
        <f t="shared" si="27"/>
        <v>3.2</v>
      </c>
      <c r="D29" s="18">
        <f t="shared" si="24"/>
        <v>0.94395280235988199</v>
      </c>
      <c r="E29" s="18">
        <f t="shared" si="25"/>
        <v>1.2212389380530972</v>
      </c>
      <c r="F29" s="18">
        <f t="shared" si="28"/>
        <v>0.76230495731850589</v>
      </c>
      <c r="G29" s="9">
        <f t="shared" si="29"/>
        <v>63.058</v>
      </c>
      <c r="H29" s="9">
        <f t="shared" si="30"/>
        <v>360.79600000000005</v>
      </c>
      <c r="I29" s="9" t="str">
        <f t="shared" si="7"/>
        <v>hết lún</v>
      </c>
      <c r="J29" s="9">
        <f t="shared" si="31"/>
        <v>7350</v>
      </c>
      <c r="K29" s="9">
        <f t="shared" si="26"/>
        <v>0</v>
      </c>
      <c r="L29" s="17">
        <f t="shared" si="0"/>
        <v>-63.058</v>
      </c>
      <c r="M29" s="3" t="e">
        <f t="shared" si="8"/>
        <v>#N/A</v>
      </c>
      <c r="N29" s="13" t="e">
        <f t="shared" si="1"/>
        <v>#N/A</v>
      </c>
      <c r="O29" s="13" t="e">
        <f t="shared" si="2"/>
        <v>#N/A</v>
      </c>
      <c r="P29" s="13" t="e">
        <f t="shared" si="3"/>
        <v>#N/A</v>
      </c>
      <c r="Q29" s="27">
        <f t="shared" si="9"/>
        <v>9.3800000000000008</v>
      </c>
      <c r="R29" s="1" t="str">
        <f t="shared" si="10"/>
        <v>dùng gama đẩy nổi</v>
      </c>
      <c r="U29" s="1">
        <f t="shared" si="11"/>
        <v>0.8</v>
      </c>
      <c r="V29" s="1">
        <f t="shared" si="12"/>
        <v>1.2</v>
      </c>
      <c r="W29" s="1">
        <f t="shared" si="13"/>
        <v>1</v>
      </c>
      <c r="X29" s="1">
        <f t="shared" si="14"/>
        <v>1.4</v>
      </c>
      <c r="Y29" s="1">
        <f t="shared" si="15"/>
        <v>3</v>
      </c>
      <c r="Z29" s="1">
        <f t="shared" si="16"/>
        <v>4</v>
      </c>
      <c r="AA29" s="1">
        <f t="shared" si="17"/>
        <v>0.8</v>
      </c>
      <c r="AB29" s="1">
        <f t="shared" si="18"/>
        <v>0.84799999999999998</v>
      </c>
      <c r="AC29" s="1">
        <f t="shared" si="19"/>
        <v>0.60599999999999998</v>
      </c>
      <c r="AD29" s="1">
        <f t="shared" si="20"/>
        <v>0.68200000000000005</v>
      </c>
      <c r="AE29" s="1">
        <f t="shared" si="21"/>
        <v>0.82654867256637177</v>
      </c>
      <c r="AF29" s="1">
        <f t="shared" si="22"/>
        <v>0.64803539823008849</v>
      </c>
      <c r="AK29" s="35">
        <v>0</v>
      </c>
      <c r="AL29" s="6">
        <v>1</v>
      </c>
      <c r="AM29" s="26">
        <v>1</v>
      </c>
      <c r="AN29" s="2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</row>
    <row r="30" spans="1:45">
      <c r="A30" s="3">
        <v>7</v>
      </c>
      <c r="B30" s="30">
        <v>0.8</v>
      </c>
      <c r="C30" s="9">
        <f>B30+C29</f>
        <v>4</v>
      </c>
      <c r="D30" s="18">
        <f t="shared" si="24"/>
        <v>1.1799410029498525</v>
      </c>
      <c r="E30" s="18">
        <f t="shared" si="25"/>
        <v>1.2212389380530972</v>
      </c>
      <c r="F30" s="18">
        <f t="shared" si="28"/>
        <v>0.65698739133839779</v>
      </c>
      <c r="G30" s="9">
        <f t="shared" si="29"/>
        <v>54.345999999999997</v>
      </c>
      <c r="H30" s="9">
        <f t="shared" si="30"/>
        <v>368.30000000000007</v>
      </c>
      <c r="I30" s="9" t="str">
        <f t="shared" si="7"/>
        <v>hết lún</v>
      </c>
      <c r="J30" s="9">
        <f t="shared" si="31"/>
        <v>7350</v>
      </c>
      <c r="K30" s="9">
        <f t="shared" si="26"/>
        <v>0</v>
      </c>
      <c r="L30" s="17">
        <f t="shared" si="0"/>
        <v>-54.345999999999997</v>
      </c>
      <c r="M30" s="3" t="e">
        <f t="shared" si="8"/>
        <v>#N/A</v>
      </c>
      <c r="N30" s="13" t="e">
        <f t="shared" si="1"/>
        <v>#N/A</v>
      </c>
      <c r="O30" s="13" t="e">
        <f t="shared" si="2"/>
        <v>#N/A</v>
      </c>
      <c r="P30" s="13" t="e">
        <f t="shared" si="3"/>
        <v>#N/A</v>
      </c>
      <c r="Q30" s="27">
        <f t="shared" si="9"/>
        <v>9.3800000000000008</v>
      </c>
      <c r="R30" s="1" t="str">
        <f t="shared" si="10"/>
        <v>dùng gama đẩy nổi</v>
      </c>
      <c r="U30" s="1">
        <f t="shared" si="11"/>
        <v>0.8</v>
      </c>
      <c r="V30" s="1">
        <f t="shared" si="12"/>
        <v>1.2</v>
      </c>
      <c r="W30" s="1">
        <f t="shared" si="13"/>
        <v>1</v>
      </c>
      <c r="X30" s="1">
        <f t="shared" si="14"/>
        <v>1.4</v>
      </c>
      <c r="Y30" s="1">
        <f t="shared" si="15"/>
        <v>3</v>
      </c>
      <c r="Z30" s="1">
        <f t="shared" si="16"/>
        <v>4</v>
      </c>
      <c r="AA30" s="1">
        <f t="shared" si="17"/>
        <v>0.8</v>
      </c>
      <c r="AB30" s="1">
        <f t="shared" si="18"/>
        <v>0.84799999999999998</v>
      </c>
      <c r="AC30" s="1">
        <f t="shared" si="19"/>
        <v>0.60599999999999998</v>
      </c>
      <c r="AD30" s="1">
        <f t="shared" si="20"/>
        <v>0.68200000000000005</v>
      </c>
      <c r="AE30" s="1">
        <f t="shared" si="21"/>
        <v>0.82654867256637177</v>
      </c>
      <c r="AF30" s="1">
        <f t="shared" si="22"/>
        <v>0.64803539823008849</v>
      </c>
      <c r="AJ30" s="35">
        <v>0</v>
      </c>
      <c r="AK30" s="35">
        <v>0.4</v>
      </c>
      <c r="AL30" s="35">
        <v>0.94899999999999995</v>
      </c>
      <c r="AM30" s="21">
        <v>0.96</v>
      </c>
      <c r="AN30" s="21">
        <v>0.97199999999999998</v>
      </c>
      <c r="AO30" s="19">
        <v>0.97499999999999998</v>
      </c>
      <c r="AP30" s="35">
        <v>0.97599999999999998</v>
      </c>
      <c r="AQ30" s="35">
        <v>0.97699999999999998</v>
      </c>
      <c r="AR30" s="35">
        <v>0.97699999999999998</v>
      </c>
      <c r="AS30" s="35">
        <v>0.97699999999999998</v>
      </c>
    </row>
    <row r="31" spans="1:45">
      <c r="A31" s="3">
        <v>8</v>
      </c>
      <c r="B31" s="30">
        <f t="shared" si="23"/>
        <v>0.8</v>
      </c>
      <c r="C31" s="9">
        <f t="shared" si="27"/>
        <v>4.8</v>
      </c>
      <c r="D31" s="18">
        <f t="shared" si="24"/>
        <v>1.415929203539823</v>
      </c>
      <c r="E31" s="18">
        <f t="shared" si="25"/>
        <v>1.2212389380530972</v>
      </c>
      <c r="F31" s="18">
        <f t="shared" si="28"/>
        <v>0.56537320855196171</v>
      </c>
      <c r="G31" s="9">
        <f t="shared" si="29"/>
        <v>46.768000000000001</v>
      </c>
      <c r="H31" s="9">
        <f t="shared" si="30"/>
        <v>375.80400000000009</v>
      </c>
      <c r="I31" s="9" t="str">
        <f t="shared" si="7"/>
        <v>hết lún</v>
      </c>
      <c r="J31" s="9">
        <f t="shared" si="31"/>
        <v>7350</v>
      </c>
      <c r="K31" s="9">
        <f t="shared" si="26"/>
        <v>0</v>
      </c>
      <c r="L31" s="17">
        <f t="shared" si="0"/>
        <v>-46.768000000000001</v>
      </c>
      <c r="M31" s="3" t="e">
        <f t="shared" si="8"/>
        <v>#N/A</v>
      </c>
      <c r="N31" s="13" t="e">
        <f t="shared" si="1"/>
        <v>#N/A</v>
      </c>
      <c r="O31" s="13" t="e">
        <f t="shared" si="2"/>
        <v>#N/A</v>
      </c>
      <c r="P31" s="13" t="e">
        <f t="shared" si="3"/>
        <v>#N/A</v>
      </c>
      <c r="Q31" s="27">
        <f t="shared" si="9"/>
        <v>9.3800000000000008</v>
      </c>
      <c r="R31" s="1" t="str">
        <f t="shared" si="10"/>
        <v>dùng gama đẩy nổi</v>
      </c>
      <c r="U31" s="1">
        <f t="shared" si="11"/>
        <v>1.2</v>
      </c>
      <c r="V31" s="1">
        <f t="shared" si="12"/>
        <v>1.6</v>
      </c>
      <c r="W31" s="1">
        <f t="shared" si="13"/>
        <v>1</v>
      </c>
      <c r="X31" s="1">
        <f t="shared" si="14"/>
        <v>1.4</v>
      </c>
      <c r="Y31" s="1">
        <f t="shared" si="15"/>
        <v>3</v>
      </c>
      <c r="Z31" s="1">
        <f t="shared" si="16"/>
        <v>4</v>
      </c>
      <c r="AA31" s="1">
        <f t="shared" si="17"/>
        <v>0.60599999999999998</v>
      </c>
      <c r="AB31" s="1">
        <f t="shared" si="18"/>
        <v>0.68200000000000005</v>
      </c>
      <c r="AC31" s="1">
        <f t="shared" si="19"/>
        <v>0.44900000000000001</v>
      </c>
      <c r="AD31" s="1">
        <f t="shared" si="20"/>
        <v>0.53200000000000003</v>
      </c>
      <c r="AE31" s="1">
        <f t="shared" si="21"/>
        <v>0.64803539823008849</v>
      </c>
      <c r="AF31" s="1">
        <f t="shared" si="22"/>
        <v>0.49490707964601771</v>
      </c>
      <c r="AJ31" s="35">
        <v>0.4</v>
      </c>
      <c r="AK31" s="35">
        <v>0.8</v>
      </c>
      <c r="AL31" s="35">
        <v>0.75600000000000001</v>
      </c>
      <c r="AM31" s="21">
        <v>0.8</v>
      </c>
      <c r="AN31" s="21">
        <v>0.84799999999999998</v>
      </c>
      <c r="AO31" s="19">
        <v>0.86599999999999999</v>
      </c>
      <c r="AP31" s="35">
        <v>0.875</v>
      </c>
      <c r="AQ31" s="35">
        <v>0.879</v>
      </c>
      <c r="AR31" s="35">
        <v>0.88100000000000001</v>
      </c>
      <c r="AS31" s="35">
        <v>0.88100000000000001</v>
      </c>
    </row>
    <row r="32" spans="1:45">
      <c r="A32" s="3">
        <v>9</v>
      </c>
      <c r="B32" s="30">
        <f t="shared" si="23"/>
        <v>0.8</v>
      </c>
      <c r="C32" s="9">
        <f t="shared" si="27"/>
        <v>5.6</v>
      </c>
      <c r="D32" s="18">
        <f t="shared" si="24"/>
        <v>1.6519174041297933</v>
      </c>
      <c r="E32" s="18">
        <f t="shared" si="25"/>
        <v>1.2212389380530972</v>
      </c>
      <c r="F32" s="18">
        <f>FORECAST(D32,AE32:AF32,U32:V32)</f>
        <v>0.47988147074947146</v>
      </c>
      <c r="G32" s="9">
        <f t="shared" si="29"/>
        <v>39.695999999999998</v>
      </c>
      <c r="H32" s="9">
        <f t="shared" si="30"/>
        <v>383.30800000000011</v>
      </c>
      <c r="I32" s="9" t="str">
        <f t="shared" si="7"/>
        <v>hết lún</v>
      </c>
      <c r="J32" s="9">
        <f t="shared" si="31"/>
        <v>7350</v>
      </c>
      <c r="K32" s="9">
        <f t="shared" si="26"/>
        <v>0</v>
      </c>
      <c r="L32" s="17">
        <f t="shared" si="0"/>
        <v>-39.695999999999998</v>
      </c>
      <c r="M32" s="3" t="e">
        <f t="shared" si="8"/>
        <v>#N/A</v>
      </c>
      <c r="N32" s="13" t="e">
        <f t="shared" si="1"/>
        <v>#N/A</v>
      </c>
      <c r="O32" s="13" t="e">
        <f t="shared" si="2"/>
        <v>#N/A</v>
      </c>
      <c r="P32" s="13" t="e">
        <f t="shared" si="3"/>
        <v>#N/A</v>
      </c>
      <c r="Q32" s="27">
        <f t="shared" si="9"/>
        <v>9.3800000000000008</v>
      </c>
      <c r="R32" s="1" t="str">
        <f t="shared" si="10"/>
        <v>dùng gama đẩy nổi</v>
      </c>
      <c r="U32" s="1">
        <f t="shared" si="11"/>
        <v>1.6</v>
      </c>
      <c r="V32" s="1">
        <f t="shared" si="12"/>
        <v>2</v>
      </c>
      <c r="W32" s="1">
        <f t="shared" si="13"/>
        <v>1</v>
      </c>
      <c r="X32" s="1">
        <f t="shared" si="14"/>
        <v>1.4</v>
      </c>
      <c r="Y32" s="1">
        <f t="shared" si="15"/>
        <v>3</v>
      </c>
      <c r="Z32" s="1">
        <f t="shared" si="16"/>
        <v>4</v>
      </c>
      <c r="AA32" s="1">
        <f t="shared" si="17"/>
        <v>0.44900000000000001</v>
      </c>
      <c r="AB32" s="1">
        <f t="shared" si="18"/>
        <v>0.53200000000000003</v>
      </c>
      <c r="AC32" s="1">
        <f t="shared" si="19"/>
        <v>0.33600000000000002</v>
      </c>
      <c r="AD32" s="1">
        <f t="shared" si="20"/>
        <v>0.41399999999999998</v>
      </c>
      <c r="AE32" s="1">
        <f t="shared" si="21"/>
        <v>0.49490707964601771</v>
      </c>
      <c r="AF32" s="1">
        <f t="shared" si="22"/>
        <v>0.37914159292035399</v>
      </c>
      <c r="AJ32" s="35">
        <v>0.8</v>
      </c>
      <c r="AK32" s="35">
        <v>1.2</v>
      </c>
      <c r="AL32" s="35">
        <v>0.54700000000000004</v>
      </c>
      <c r="AM32" s="35">
        <v>0.60599999999999998</v>
      </c>
      <c r="AN32" s="35">
        <v>0.68200000000000005</v>
      </c>
      <c r="AO32" s="35">
        <v>0.71699999999999997</v>
      </c>
      <c r="AP32" s="35">
        <v>0.74</v>
      </c>
      <c r="AQ32" s="35">
        <v>0.749</v>
      </c>
      <c r="AR32" s="35">
        <v>0.754</v>
      </c>
      <c r="AS32" s="35">
        <v>0.755</v>
      </c>
    </row>
    <row r="33" spans="1:45">
      <c r="A33" s="3">
        <v>10</v>
      </c>
      <c r="B33" s="30">
        <f>IF(AND(A31*$C$21&lt;$B$10-$C$16,A32*$C$21&gt;$B$10-$C$16),$B$10-$C$16-C32,$C$21)</f>
        <v>0.8</v>
      </c>
      <c r="C33" s="9">
        <f>B33+C32</f>
        <v>6.3999999999999995</v>
      </c>
      <c r="D33" s="18">
        <f t="shared" si="24"/>
        <v>1.8879056047197638</v>
      </c>
      <c r="E33" s="18">
        <f t="shared" si="25"/>
        <v>1.2212389380530972</v>
      </c>
      <c r="F33" s="18">
        <f t="shared" si="28"/>
        <v>0.41158324849244277</v>
      </c>
      <c r="G33" s="9">
        <f t="shared" si="29"/>
        <v>34.045999999999999</v>
      </c>
      <c r="H33" s="9">
        <f t="shared" si="30"/>
        <v>390.81200000000013</v>
      </c>
      <c r="I33" s="9" t="str">
        <f t="shared" si="7"/>
        <v>hết lún</v>
      </c>
      <c r="J33" s="9">
        <f t="shared" si="31"/>
        <v>7350</v>
      </c>
      <c r="K33" s="9">
        <f t="shared" si="26"/>
        <v>0</v>
      </c>
      <c r="L33" s="17">
        <f t="shared" si="0"/>
        <v>-34.045999999999999</v>
      </c>
      <c r="M33" s="3" t="e">
        <f t="shared" si="8"/>
        <v>#N/A</v>
      </c>
      <c r="N33" s="13" t="e">
        <f t="shared" si="1"/>
        <v>#N/A</v>
      </c>
      <c r="O33" s="13" t="e">
        <f t="shared" si="2"/>
        <v>#N/A</v>
      </c>
      <c r="P33" s="13" t="e">
        <f t="shared" si="3"/>
        <v>#N/A</v>
      </c>
      <c r="Q33" s="27">
        <f t="shared" si="9"/>
        <v>9.3800000000000008</v>
      </c>
      <c r="R33" s="1" t="str">
        <f t="shared" si="10"/>
        <v>dùng gama đẩy nổi</v>
      </c>
      <c r="U33" s="1">
        <f t="shared" si="11"/>
        <v>1.6</v>
      </c>
      <c r="V33" s="1">
        <f t="shared" si="12"/>
        <v>2</v>
      </c>
      <c r="W33" s="1">
        <f t="shared" si="13"/>
        <v>1</v>
      </c>
      <c r="X33" s="1">
        <f t="shared" si="14"/>
        <v>1.4</v>
      </c>
      <c r="Y33" s="1">
        <f t="shared" si="15"/>
        <v>3</v>
      </c>
      <c r="Z33" s="1">
        <f t="shared" si="16"/>
        <v>4</v>
      </c>
      <c r="AA33" s="1">
        <f t="shared" si="17"/>
        <v>0.44900000000000001</v>
      </c>
      <c r="AB33" s="1">
        <f t="shared" si="18"/>
        <v>0.53200000000000003</v>
      </c>
      <c r="AC33" s="1">
        <f t="shared" si="19"/>
        <v>0.33600000000000002</v>
      </c>
      <c r="AD33" s="1">
        <f t="shared" si="20"/>
        <v>0.41399999999999998</v>
      </c>
      <c r="AE33" s="1">
        <f t="shared" si="21"/>
        <v>0.49490707964601771</v>
      </c>
      <c r="AF33" s="1">
        <f t="shared" si="22"/>
        <v>0.37914159292035399</v>
      </c>
      <c r="AJ33" s="35">
        <v>1.2</v>
      </c>
      <c r="AK33" s="35">
        <v>1.6</v>
      </c>
      <c r="AL33" s="35">
        <v>0.39</v>
      </c>
      <c r="AM33" s="35">
        <v>0.44900000000000001</v>
      </c>
      <c r="AN33" s="35">
        <v>0.53200000000000003</v>
      </c>
      <c r="AO33" s="35">
        <v>0.57799999999999996</v>
      </c>
      <c r="AP33" s="35">
        <v>0.61199999999999999</v>
      </c>
      <c r="AQ33" s="35">
        <v>0.63</v>
      </c>
      <c r="AR33" s="35">
        <v>0.63900000000000001</v>
      </c>
      <c r="AS33" s="35">
        <v>0.64200000000000002</v>
      </c>
    </row>
    <row r="34" spans="1:45">
      <c r="A34" s="3">
        <v>11</v>
      </c>
      <c r="B34" s="30">
        <f t="shared" si="23"/>
        <v>0.8</v>
      </c>
      <c r="C34" s="9">
        <f t="shared" si="27"/>
        <v>7.1999999999999993</v>
      </c>
      <c r="D34" s="18">
        <f t="shared" si="24"/>
        <v>2.1238938053097343</v>
      </c>
      <c r="E34" s="18">
        <f t="shared" si="25"/>
        <v>1.2212389380530972</v>
      </c>
      <c r="F34" s="18">
        <f>FORECAST(D34,AE34:AF34,U34:V34)</f>
        <v>0.35295943300180133</v>
      </c>
      <c r="G34" s="9">
        <f t="shared" si="29"/>
        <v>29.196999999999999</v>
      </c>
      <c r="H34" s="9">
        <f t="shared" si="30"/>
        <v>398.31600000000014</v>
      </c>
      <c r="I34" s="9" t="str">
        <f t="shared" si="7"/>
        <v>hết lún</v>
      </c>
      <c r="J34" s="9">
        <f t="shared" si="31"/>
        <v>7350</v>
      </c>
      <c r="K34" s="9">
        <f t="shared" si="26"/>
        <v>0</v>
      </c>
      <c r="L34" s="17">
        <f t="shared" si="0"/>
        <v>-29.196999999999999</v>
      </c>
      <c r="M34" s="3" t="e">
        <f t="shared" si="8"/>
        <v>#N/A</v>
      </c>
      <c r="N34" s="13" t="e">
        <f t="shared" si="1"/>
        <v>#N/A</v>
      </c>
      <c r="O34" s="13" t="e">
        <f t="shared" si="2"/>
        <v>#N/A</v>
      </c>
      <c r="P34" s="13" t="e">
        <f t="shared" si="3"/>
        <v>#N/A</v>
      </c>
      <c r="Q34" s="27">
        <f t="shared" si="9"/>
        <v>9.3800000000000008</v>
      </c>
      <c r="R34" s="1" t="str">
        <f t="shared" si="10"/>
        <v>dùng gama đẩy nổi</v>
      </c>
      <c r="U34" s="1">
        <f t="shared" si="11"/>
        <v>2</v>
      </c>
      <c r="V34" s="1">
        <f t="shared" si="12"/>
        <v>2.4</v>
      </c>
      <c r="W34" s="1">
        <f t="shared" si="13"/>
        <v>1</v>
      </c>
      <c r="X34" s="1">
        <f t="shared" si="14"/>
        <v>1.4</v>
      </c>
      <c r="Y34" s="1">
        <f t="shared" si="15"/>
        <v>3</v>
      </c>
      <c r="Z34" s="1">
        <f t="shared" si="16"/>
        <v>4</v>
      </c>
      <c r="AA34" s="1">
        <f t="shared" si="17"/>
        <v>0.33600000000000002</v>
      </c>
      <c r="AB34" s="1">
        <f t="shared" si="18"/>
        <v>0.41399999999999998</v>
      </c>
      <c r="AC34" s="1">
        <f t="shared" si="19"/>
        <v>0.25700000000000001</v>
      </c>
      <c r="AD34" s="1">
        <f t="shared" si="20"/>
        <v>0.32500000000000001</v>
      </c>
      <c r="AE34" s="1">
        <f t="shared" si="21"/>
        <v>0.37914159292035399</v>
      </c>
      <c r="AF34" s="1">
        <f t="shared" si="22"/>
        <v>0.29461061946902656</v>
      </c>
      <c r="AJ34" s="35">
        <v>1.6</v>
      </c>
      <c r="AK34" s="35">
        <v>2</v>
      </c>
      <c r="AL34" s="35">
        <v>0.28499999999999998</v>
      </c>
      <c r="AM34" s="35">
        <v>0.33600000000000002</v>
      </c>
      <c r="AN34" s="35">
        <v>0.41399999999999998</v>
      </c>
      <c r="AO34" s="35">
        <v>0.46300000000000002</v>
      </c>
      <c r="AP34" s="35">
        <v>0.505</v>
      </c>
      <c r="AQ34" s="35">
        <v>0.52900000000000003</v>
      </c>
      <c r="AR34" s="35">
        <v>0.54500000000000004</v>
      </c>
      <c r="AS34" s="35">
        <v>0.55000000000000004</v>
      </c>
    </row>
    <row r="35" spans="1:45">
      <c r="A35" s="3">
        <v>12</v>
      </c>
      <c r="B35" s="30">
        <f t="shared" si="23"/>
        <v>1.2000000000000011</v>
      </c>
      <c r="C35" s="9">
        <f>B35+C34</f>
        <v>8.4</v>
      </c>
      <c r="D35" s="18">
        <f t="shared" si="24"/>
        <v>2.4778761061946901</v>
      </c>
      <c r="E35" s="18">
        <f t="shared" si="25"/>
        <v>1.2212389380530972</v>
      </c>
      <c r="F35" s="18">
        <f t="shared" si="28"/>
        <v>0.28273882058109479</v>
      </c>
      <c r="G35" s="9">
        <f t="shared" si="29"/>
        <v>23.388000000000002</v>
      </c>
      <c r="H35" s="9">
        <f t="shared" si="30"/>
        <v>409.57200000000017</v>
      </c>
      <c r="I35" s="9" t="str">
        <f t="shared" si="7"/>
        <v>hết lún</v>
      </c>
      <c r="J35" s="9">
        <f t="shared" si="31"/>
        <v>7350</v>
      </c>
      <c r="K35" s="9">
        <f t="shared" si="26"/>
        <v>0</v>
      </c>
      <c r="L35" s="17">
        <f t="shared" si="0"/>
        <v>-23.388000000000002</v>
      </c>
      <c r="M35" s="3" t="e">
        <f t="shared" si="8"/>
        <v>#N/A</v>
      </c>
      <c r="N35" s="13" t="e">
        <f t="shared" si="1"/>
        <v>#N/A</v>
      </c>
      <c r="O35" s="13" t="e">
        <f t="shared" si="2"/>
        <v>#N/A</v>
      </c>
      <c r="P35" s="13" t="e">
        <f t="shared" si="3"/>
        <v>#N/A</v>
      </c>
      <c r="Q35" s="27">
        <f t="shared" si="9"/>
        <v>9.3800000000000008</v>
      </c>
      <c r="R35" s="1" t="str">
        <f t="shared" si="10"/>
        <v>dùng gama đẩy nổi</v>
      </c>
      <c r="U35" s="1">
        <f t="shared" si="11"/>
        <v>2.4</v>
      </c>
      <c r="V35" s="1">
        <f t="shared" si="12"/>
        <v>2.8</v>
      </c>
      <c r="W35" s="1">
        <f t="shared" si="13"/>
        <v>1</v>
      </c>
      <c r="X35" s="1">
        <f t="shared" si="14"/>
        <v>1.4</v>
      </c>
      <c r="Y35" s="1">
        <f t="shared" si="15"/>
        <v>3</v>
      </c>
      <c r="Z35" s="1">
        <f t="shared" si="16"/>
        <v>4</v>
      </c>
      <c r="AA35" s="1">
        <f t="shared" si="17"/>
        <v>0.25700000000000001</v>
      </c>
      <c r="AB35" s="1">
        <f t="shared" si="18"/>
        <v>0.32500000000000001</v>
      </c>
      <c r="AC35" s="1">
        <f t="shared" si="19"/>
        <v>0.20100000000000001</v>
      </c>
      <c r="AD35" s="1">
        <f t="shared" si="20"/>
        <v>0.26</v>
      </c>
      <c r="AE35" s="1">
        <f t="shared" si="21"/>
        <v>0.29461061946902656</v>
      </c>
      <c r="AF35" s="1">
        <f t="shared" si="22"/>
        <v>0.23363274336283185</v>
      </c>
      <c r="AJ35" s="35">
        <v>2</v>
      </c>
      <c r="AK35" s="35">
        <v>2.4</v>
      </c>
      <c r="AL35" s="35">
        <v>0.214</v>
      </c>
      <c r="AM35" s="35">
        <v>0.25700000000000001</v>
      </c>
      <c r="AN35" s="35">
        <v>0.32500000000000001</v>
      </c>
      <c r="AO35" s="35">
        <v>0.374</v>
      </c>
      <c r="AP35" s="35">
        <v>0.41899999999999998</v>
      </c>
      <c r="AQ35" s="35">
        <v>0.44900000000000001</v>
      </c>
      <c r="AR35" s="35">
        <v>0.47</v>
      </c>
      <c r="AS35" s="35">
        <v>0.47699999999999998</v>
      </c>
    </row>
    <row r="36" spans="1:45">
      <c r="A36" s="3">
        <v>13</v>
      </c>
      <c r="B36" s="30">
        <f t="shared" si="23"/>
        <v>0.8</v>
      </c>
      <c r="C36" s="9">
        <f t="shared" ref="C36:C46" si="32">B36+C35</f>
        <v>9.2000000000000011</v>
      </c>
      <c r="D36" s="18">
        <f t="shared" ref="D36:D46" si="33">2*C36/$C$4</f>
        <v>2.7138643067846608</v>
      </c>
      <c r="E36" s="18">
        <f t="shared" si="25"/>
        <v>1.2212389380530972</v>
      </c>
      <c r="F36" s="18">
        <f t="shared" si="28"/>
        <v>0.24676367243584713</v>
      </c>
      <c r="G36" s="9">
        <f t="shared" si="29"/>
        <v>20.411999999999999</v>
      </c>
      <c r="H36" s="9">
        <f t="shared" si="30"/>
        <v>417.07600000000019</v>
      </c>
      <c r="I36" s="9" t="str">
        <f t="shared" si="7"/>
        <v>hết lún</v>
      </c>
      <c r="J36" s="9">
        <f t="shared" si="31"/>
        <v>7350</v>
      </c>
      <c r="K36" s="9">
        <f t="shared" si="26"/>
        <v>0</v>
      </c>
      <c r="L36" s="17">
        <f t="shared" si="0"/>
        <v>-20.411999999999999</v>
      </c>
      <c r="M36" s="3" t="e">
        <f t="shared" si="8"/>
        <v>#N/A</v>
      </c>
      <c r="N36" s="13" t="e">
        <f t="shared" si="1"/>
        <v>#N/A</v>
      </c>
      <c r="O36" s="13" t="e">
        <f t="shared" si="2"/>
        <v>#N/A</v>
      </c>
      <c r="P36" s="13" t="e">
        <f t="shared" si="3"/>
        <v>#N/A</v>
      </c>
      <c r="Q36" s="27">
        <f t="shared" si="9"/>
        <v>9.3800000000000008</v>
      </c>
      <c r="R36" s="1" t="str">
        <f t="shared" si="10"/>
        <v>dùng gama đẩy nổi</v>
      </c>
      <c r="U36" s="1">
        <f t="shared" si="11"/>
        <v>2.4</v>
      </c>
      <c r="V36" s="1">
        <f t="shared" ref="V36:V46" si="34">VLOOKUP(U36,$AJ$30:$AK$56,2,0)</f>
        <v>2.8</v>
      </c>
      <c r="W36" s="1">
        <f t="shared" si="13"/>
        <v>1</v>
      </c>
      <c r="X36" s="1">
        <f t="shared" ref="X36:X46" si="35">HLOOKUP(W36,$AL$61:$AR$62,2,0)</f>
        <v>1.4</v>
      </c>
      <c r="Y36" s="1">
        <f t="shared" ref="Y36:Y46" si="36">HLOOKUP(W36,$AM$27:$AR$28,2,0)</f>
        <v>3</v>
      </c>
      <c r="Z36" s="1">
        <f t="shared" ref="Z36:Z46" si="37">HLOOKUP(X36,$AM$27:$AR$28,2,0)</f>
        <v>4</v>
      </c>
      <c r="AA36" s="1">
        <f t="shared" ref="AA36:AA46" si="38">VLOOKUP(U36,$AK$28:$AS$56,Y36,0)</f>
        <v>0.25700000000000001</v>
      </c>
      <c r="AB36" s="1">
        <f t="shared" ref="AB36:AB46" si="39">VLOOKUP(U36,$AK$28:$AS$56,Z36,0)</f>
        <v>0.32500000000000001</v>
      </c>
      <c r="AC36" s="1">
        <f t="shared" ref="AC36:AC46" si="40">VLOOKUP(V36,$AK$28:$AS$56,Y36,0)</f>
        <v>0.20100000000000001</v>
      </c>
      <c r="AD36" s="1">
        <f t="shared" ref="AD36:AD46" si="41">VLOOKUP(V36,$AK$28:$AS$56,Z36,0)</f>
        <v>0.26</v>
      </c>
      <c r="AE36" s="1">
        <f t="shared" si="21"/>
        <v>0.29461061946902656</v>
      </c>
      <c r="AF36" s="1">
        <f t="shared" si="22"/>
        <v>0.23363274336283185</v>
      </c>
      <c r="AJ36" s="35">
        <v>2.4</v>
      </c>
      <c r="AK36" s="35">
        <v>2.8</v>
      </c>
      <c r="AL36" s="35">
        <v>0.16500000000000001</v>
      </c>
      <c r="AM36" s="35">
        <v>0.20100000000000001</v>
      </c>
      <c r="AN36" s="35">
        <v>0.26</v>
      </c>
      <c r="AO36" s="35">
        <v>0.30399999999999999</v>
      </c>
      <c r="AP36" s="35">
        <v>0.35</v>
      </c>
      <c r="AQ36" s="35">
        <v>0.38300000000000001</v>
      </c>
      <c r="AR36" s="35">
        <v>0.41</v>
      </c>
      <c r="AS36" s="35">
        <v>0.42</v>
      </c>
    </row>
    <row r="37" spans="1:45">
      <c r="A37" s="3">
        <v>14</v>
      </c>
      <c r="B37" s="30">
        <f t="shared" si="23"/>
        <v>0.8</v>
      </c>
      <c r="C37" s="9">
        <f t="shared" si="32"/>
        <v>10.000000000000002</v>
      </c>
      <c r="D37" s="18">
        <f t="shared" si="33"/>
        <v>2.9498525073746316</v>
      </c>
      <c r="E37" s="18">
        <f t="shared" si="25"/>
        <v>1.2212389380530972</v>
      </c>
      <c r="F37" s="18">
        <f t="shared" si="28"/>
        <v>0.21640799331714822</v>
      </c>
      <c r="G37" s="9">
        <f t="shared" si="29"/>
        <v>17.901</v>
      </c>
      <c r="H37" s="9">
        <f t="shared" si="30"/>
        <v>424.58000000000021</v>
      </c>
      <c r="I37" s="9" t="str">
        <f t="shared" si="7"/>
        <v>hết lún</v>
      </c>
      <c r="J37" s="9">
        <f t="shared" si="31"/>
        <v>7350</v>
      </c>
      <c r="K37" s="9">
        <f t="shared" si="26"/>
        <v>0</v>
      </c>
      <c r="L37" s="17">
        <f t="shared" si="0"/>
        <v>-17.901</v>
      </c>
      <c r="M37" s="3" t="e">
        <f t="shared" si="8"/>
        <v>#N/A</v>
      </c>
      <c r="N37" s="13" t="e">
        <f t="shared" si="1"/>
        <v>#N/A</v>
      </c>
      <c r="O37" s="13" t="e">
        <f t="shared" si="2"/>
        <v>#N/A</v>
      </c>
      <c r="P37" s="13" t="e">
        <f t="shared" si="3"/>
        <v>#N/A</v>
      </c>
      <c r="Q37" s="27">
        <f t="shared" si="9"/>
        <v>9.3800000000000008</v>
      </c>
      <c r="R37" s="1" t="str">
        <f t="shared" si="10"/>
        <v>dùng gama đẩy nổi</v>
      </c>
      <c r="U37" s="1">
        <f t="shared" si="11"/>
        <v>2.8</v>
      </c>
      <c r="V37" s="1">
        <f t="shared" si="34"/>
        <v>3.2</v>
      </c>
      <c r="W37" s="1">
        <f t="shared" si="13"/>
        <v>1</v>
      </c>
      <c r="X37" s="1">
        <f t="shared" si="35"/>
        <v>1.4</v>
      </c>
      <c r="Y37" s="1">
        <f t="shared" si="36"/>
        <v>3</v>
      </c>
      <c r="Z37" s="1">
        <f t="shared" si="37"/>
        <v>4</v>
      </c>
      <c r="AA37" s="1">
        <f t="shared" si="38"/>
        <v>0.20100000000000001</v>
      </c>
      <c r="AB37" s="1">
        <f t="shared" si="39"/>
        <v>0.26</v>
      </c>
      <c r="AC37" s="1">
        <f t="shared" si="40"/>
        <v>0.16</v>
      </c>
      <c r="AD37" s="1">
        <f t="shared" si="41"/>
        <v>0.21</v>
      </c>
      <c r="AE37" s="1">
        <f t="shared" si="21"/>
        <v>0.23363274336283185</v>
      </c>
      <c r="AF37" s="1">
        <f t="shared" si="22"/>
        <v>0.18765486725663716</v>
      </c>
      <c r="AJ37" s="35">
        <v>2.8</v>
      </c>
      <c r="AK37" s="35">
        <v>3.2</v>
      </c>
      <c r="AL37" s="35">
        <v>0.13</v>
      </c>
      <c r="AM37" s="35">
        <v>0.16</v>
      </c>
      <c r="AN37" s="35">
        <v>0.21</v>
      </c>
      <c r="AO37" s="35">
        <v>0.251</v>
      </c>
      <c r="AP37" s="35">
        <v>0.29399999999999998</v>
      </c>
      <c r="AQ37" s="35">
        <v>0.32900000000000001</v>
      </c>
      <c r="AR37" s="35">
        <v>0.36</v>
      </c>
      <c r="AS37" s="35">
        <v>0.374</v>
      </c>
    </row>
    <row r="38" spans="1:45">
      <c r="A38" s="3">
        <v>15</v>
      </c>
      <c r="B38" s="30">
        <f t="shared" si="23"/>
        <v>0.8</v>
      </c>
      <c r="C38" s="9">
        <f t="shared" si="32"/>
        <v>10.800000000000002</v>
      </c>
      <c r="D38" s="18">
        <f t="shared" si="33"/>
        <v>3.1858407079646023</v>
      </c>
      <c r="E38" s="18">
        <f>$C$3/$C$4</f>
        <v>1.2212389380530972</v>
      </c>
      <c r="F38" s="18">
        <f t="shared" si="28"/>
        <v>0.18928240269402452</v>
      </c>
      <c r="G38" s="9">
        <f t="shared" si="29"/>
        <v>15.657</v>
      </c>
      <c r="H38" s="9">
        <f t="shared" si="30"/>
        <v>432.08400000000023</v>
      </c>
      <c r="I38" s="9" t="str">
        <f t="shared" si="7"/>
        <v>hết lún</v>
      </c>
      <c r="J38" s="9">
        <f>IF($S$16=3,C$11,C$12)</f>
        <v>7350</v>
      </c>
      <c r="K38" s="9">
        <f t="shared" si="26"/>
        <v>0</v>
      </c>
      <c r="L38" s="17">
        <f t="shared" si="0"/>
        <v>-15.657</v>
      </c>
      <c r="M38" s="3" t="e">
        <f t="shared" si="8"/>
        <v>#N/A</v>
      </c>
      <c r="N38" s="13" t="e">
        <f t="shared" si="1"/>
        <v>#N/A</v>
      </c>
      <c r="O38" s="13" t="e">
        <f t="shared" si="2"/>
        <v>#N/A</v>
      </c>
      <c r="P38" s="13" t="e">
        <f t="shared" si="3"/>
        <v>#N/A</v>
      </c>
      <c r="Q38" s="27">
        <f t="shared" si="9"/>
        <v>9.3800000000000008</v>
      </c>
      <c r="R38" s="1" t="str">
        <f t="shared" si="10"/>
        <v>dùng gama đẩy nổi</v>
      </c>
      <c r="U38" s="1">
        <f t="shared" si="11"/>
        <v>2.8</v>
      </c>
      <c r="V38" s="1">
        <f t="shared" si="34"/>
        <v>3.2</v>
      </c>
      <c r="W38" s="1">
        <f t="shared" si="13"/>
        <v>1</v>
      </c>
      <c r="X38" s="1">
        <f t="shared" si="35"/>
        <v>1.4</v>
      </c>
      <c r="Y38" s="1">
        <f t="shared" si="36"/>
        <v>3</v>
      </c>
      <c r="Z38" s="1">
        <f t="shared" si="37"/>
        <v>4</v>
      </c>
      <c r="AA38" s="1">
        <f t="shared" si="38"/>
        <v>0.20100000000000001</v>
      </c>
      <c r="AB38" s="1">
        <f t="shared" si="39"/>
        <v>0.26</v>
      </c>
      <c r="AC38" s="1">
        <f t="shared" si="40"/>
        <v>0.16</v>
      </c>
      <c r="AD38" s="1">
        <f t="shared" si="41"/>
        <v>0.21</v>
      </c>
      <c r="AE38" s="1">
        <f t="shared" si="21"/>
        <v>0.23363274336283185</v>
      </c>
      <c r="AF38" s="1">
        <f t="shared" si="22"/>
        <v>0.18765486725663716</v>
      </c>
      <c r="AJ38" s="35">
        <v>3.2</v>
      </c>
      <c r="AK38" s="35">
        <v>3.6</v>
      </c>
      <c r="AL38" s="35">
        <v>0.106</v>
      </c>
      <c r="AM38" s="35">
        <v>0.13</v>
      </c>
      <c r="AN38" s="35">
        <v>0.17299999999999999</v>
      </c>
      <c r="AO38" s="35">
        <v>0.20899999999999999</v>
      </c>
      <c r="AP38" s="35">
        <v>0.25</v>
      </c>
      <c r="AQ38" s="35">
        <v>0.28299999999999997</v>
      </c>
      <c r="AR38" s="35">
        <v>0.32</v>
      </c>
      <c r="AS38" s="35">
        <v>0.33700000000000002</v>
      </c>
    </row>
    <row r="39" spans="1:45">
      <c r="A39" s="3">
        <v>16</v>
      </c>
      <c r="B39" s="30">
        <f t="shared" si="23"/>
        <v>0.8</v>
      </c>
      <c r="C39" s="9">
        <f t="shared" si="32"/>
        <v>11.600000000000003</v>
      </c>
      <c r="D39" s="18">
        <f t="shared" si="33"/>
        <v>3.421828908554573</v>
      </c>
      <c r="E39" s="18">
        <f t="shared" si="25"/>
        <v>1.2212389380530972</v>
      </c>
      <c r="F39" s="18">
        <f t="shared" si="28"/>
        <v>0.16887057195812771</v>
      </c>
      <c r="G39" s="9">
        <f t="shared" si="29"/>
        <v>13.968999999999999</v>
      </c>
      <c r="H39" s="9">
        <f t="shared" si="30"/>
        <v>439.58800000000025</v>
      </c>
      <c r="I39" s="9" t="str">
        <f t="shared" si="7"/>
        <v>hết lún</v>
      </c>
      <c r="J39" s="9">
        <f t="shared" si="31"/>
        <v>7350</v>
      </c>
      <c r="K39" s="9">
        <f t="shared" si="26"/>
        <v>0</v>
      </c>
      <c r="L39" s="17">
        <f t="shared" si="0"/>
        <v>-13.968999999999999</v>
      </c>
      <c r="M39" s="3" t="e">
        <f t="shared" si="8"/>
        <v>#N/A</v>
      </c>
      <c r="N39" s="13" t="e">
        <f t="shared" si="1"/>
        <v>#N/A</v>
      </c>
      <c r="O39" s="13" t="e">
        <f t="shared" si="2"/>
        <v>#N/A</v>
      </c>
      <c r="P39" s="13" t="e">
        <f t="shared" si="3"/>
        <v>#N/A</v>
      </c>
      <c r="Q39" s="27">
        <f t="shared" si="9"/>
        <v>9.3800000000000008</v>
      </c>
      <c r="R39" s="1" t="str">
        <f t="shared" si="10"/>
        <v>dùng gama đẩy nổi</v>
      </c>
      <c r="U39" s="1">
        <f t="shared" si="11"/>
        <v>3.2</v>
      </c>
      <c r="V39" s="1">
        <f t="shared" si="34"/>
        <v>3.6</v>
      </c>
      <c r="W39" s="1">
        <f t="shared" si="13"/>
        <v>1</v>
      </c>
      <c r="X39" s="1">
        <f t="shared" si="35"/>
        <v>1.4</v>
      </c>
      <c r="Y39" s="1">
        <f t="shared" si="36"/>
        <v>3</v>
      </c>
      <c r="Z39" s="1">
        <f t="shared" si="37"/>
        <v>4</v>
      </c>
      <c r="AA39" s="1">
        <f t="shared" si="38"/>
        <v>0.16</v>
      </c>
      <c r="AB39" s="1">
        <f t="shared" si="39"/>
        <v>0.21</v>
      </c>
      <c r="AC39" s="1">
        <f t="shared" si="40"/>
        <v>0.13</v>
      </c>
      <c r="AD39" s="1">
        <f t="shared" si="41"/>
        <v>0.17299999999999999</v>
      </c>
      <c r="AE39" s="1">
        <f t="shared" si="21"/>
        <v>0.18765486725663716</v>
      </c>
      <c r="AF39" s="1">
        <f t="shared" si="22"/>
        <v>0.15378318584070796</v>
      </c>
      <c r="AJ39" s="35">
        <v>3.6</v>
      </c>
      <c r="AK39" s="35">
        <v>4</v>
      </c>
      <c r="AL39" s="35">
        <v>8.6999999999999994E-2</v>
      </c>
      <c r="AM39" s="35">
        <v>0.108</v>
      </c>
      <c r="AN39" s="35">
        <v>0.14499999999999999</v>
      </c>
      <c r="AO39" s="35">
        <v>0.17599999999999999</v>
      </c>
      <c r="AP39" s="35">
        <v>0.214</v>
      </c>
      <c r="AQ39" s="35">
        <v>0.248</v>
      </c>
      <c r="AR39" s="35">
        <v>0.28499999999999998</v>
      </c>
      <c r="AS39" s="35">
        <v>0.30599999999999999</v>
      </c>
    </row>
    <row r="40" spans="1:45">
      <c r="A40" s="3">
        <v>17</v>
      </c>
      <c r="B40" s="30">
        <f t="shared" si="23"/>
        <v>0.8</v>
      </c>
      <c r="C40" s="9">
        <f t="shared" si="32"/>
        <v>12.400000000000004</v>
      </c>
      <c r="D40" s="18">
        <f t="shared" si="33"/>
        <v>3.6578171091445437</v>
      </c>
      <c r="E40" s="18">
        <f t="shared" si="25"/>
        <v>1.2212389380530972</v>
      </c>
      <c r="F40" s="18">
        <f t="shared" si="28"/>
        <v>0.15012356749419159</v>
      </c>
      <c r="G40" s="9">
        <f t="shared" si="29"/>
        <v>12.417999999999999</v>
      </c>
      <c r="H40" s="9">
        <f t="shared" si="30"/>
        <v>447.09200000000027</v>
      </c>
      <c r="I40" s="9" t="str">
        <f t="shared" si="7"/>
        <v>hết lún</v>
      </c>
      <c r="J40" s="9">
        <f t="shared" si="31"/>
        <v>7350</v>
      </c>
      <c r="K40" s="9">
        <f t="shared" si="26"/>
        <v>0</v>
      </c>
      <c r="L40" s="17">
        <f t="shared" si="0"/>
        <v>-12.417999999999999</v>
      </c>
      <c r="M40" s="3" t="e">
        <f t="shared" si="8"/>
        <v>#N/A</v>
      </c>
      <c r="N40" s="13" t="e">
        <f t="shared" si="1"/>
        <v>#N/A</v>
      </c>
      <c r="O40" s="13" t="e">
        <f t="shared" si="2"/>
        <v>#N/A</v>
      </c>
      <c r="P40" s="13" t="e">
        <f t="shared" si="3"/>
        <v>#N/A</v>
      </c>
      <c r="Q40" s="27">
        <f t="shared" si="9"/>
        <v>9.3800000000000008</v>
      </c>
      <c r="R40" s="1" t="str">
        <f t="shared" si="10"/>
        <v>dùng gama đẩy nổi</v>
      </c>
      <c r="U40" s="1">
        <f t="shared" si="11"/>
        <v>3.6</v>
      </c>
      <c r="V40" s="1">
        <f t="shared" si="34"/>
        <v>4</v>
      </c>
      <c r="W40" s="1">
        <f t="shared" si="13"/>
        <v>1</v>
      </c>
      <c r="X40" s="1">
        <f t="shared" si="35"/>
        <v>1.4</v>
      </c>
      <c r="Y40" s="1">
        <f t="shared" si="36"/>
        <v>3</v>
      </c>
      <c r="Z40" s="1">
        <f t="shared" si="37"/>
        <v>4</v>
      </c>
      <c r="AA40" s="1">
        <f t="shared" si="38"/>
        <v>0.13</v>
      </c>
      <c r="AB40" s="1">
        <f t="shared" si="39"/>
        <v>0.17299999999999999</v>
      </c>
      <c r="AC40" s="1">
        <f t="shared" si="40"/>
        <v>0.108</v>
      </c>
      <c r="AD40" s="1">
        <f t="shared" si="41"/>
        <v>0.14499999999999999</v>
      </c>
      <c r="AE40" s="1">
        <f t="shared" si="21"/>
        <v>0.15378318584070796</v>
      </c>
      <c r="AF40" s="1">
        <f t="shared" si="22"/>
        <v>0.12846460176991148</v>
      </c>
      <c r="AJ40" s="35">
        <v>4</v>
      </c>
      <c r="AK40" s="35">
        <v>4.4000000000000004</v>
      </c>
      <c r="AL40" s="35">
        <v>7.2999999999999995E-2</v>
      </c>
      <c r="AM40" s="35">
        <v>9.0999999999999998E-2</v>
      </c>
      <c r="AN40" s="35">
        <v>0.122</v>
      </c>
      <c r="AO40" s="35">
        <v>0.15</v>
      </c>
      <c r="AP40" s="35">
        <v>0.185</v>
      </c>
      <c r="AQ40" s="35">
        <v>0.218</v>
      </c>
      <c r="AR40" s="35">
        <v>0.25600000000000001</v>
      </c>
      <c r="AS40" s="35">
        <v>0.28000000000000003</v>
      </c>
    </row>
    <row r="41" spans="1:45">
      <c r="A41" s="3">
        <v>18</v>
      </c>
      <c r="B41" s="30">
        <f t="shared" si="23"/>
        <v>0.8</v>
      </c>
      <c r="C41" s="9">
        <f t="shared" si="32"/>
        <v>13.200000000000005</v>
      </c>
      <c r="D41" s="18">
        <f t="shared" si="33"/>
        <v>3.8938053097345144</v>
      </c>
      <c r="E41" s="18">
        <f t="shared" si="25"/>
        <v>1.2212389380530972</v>
      </c>
      <c r="F41" s="18">
        <f t="shared" si="28"/>
        <v>0.1351863497533087</v>
      </c>
      <c r="G41" s="9">
        <f t="shared" si="29"/>
        <v>11.183</v>
      </c>
      <c r="H41" s="9">
        <f t="shared" si="30"/>
        <v>454.59600000000029</v>
      </c>
      <c r="I41" s="9" t="str">
        <f t="shared" si="7"/>
        <v>hết lún</v>
      </c>
      <c r="J41" s="9">
        <f t="shared" si="31"/>
        <v>7350</v>
      </c>
      <c r="K41" s="9">
        <f t="shared" si="26"/>
        <v>0</v>
      </c>
      <c r="L41" s="17">
        <f t="shared" si="0"/>
        <v>-11.183</v>
      </c>
      <c r="M41" s="3" t="e">
        <f t="shared" si="8"/>
        <v>#N/A</v>
      </c>
      <c r="N41" s="13" t="e">
        <f t="shared" si="1"/>
        <v>#N/A</v>
      </c>
      <c r="O41" s="13" t="e">
        <f t="shared" si="2"/>
        <v>#N/A</v>
      </c>
      <c r="P41" s="13" t="e">
        <f t="shared" si="3"/>
        <v>#N/A</v>
      </c>
      <c r="Q41" s="27">
        <f t="shared" si="9"/>
        <v>9.3800000000000008</v>
      </c>
      <c r="R41" s="1" t="str">
        <f t="shared" si="10"/>
        <v>dùng gama đẩy nổi</v>
      </c>
      <c r="U41" s="1">
        <f t="shared" si="11"/>
        <v>3.6</v>
      </c>
      <c r="V41" s="1">
        <f t="shared" si="34"/>
        <v>4</v>
      </c>
      <c r="W41" s="1">
        <f t="shared" si="13"/>
        <v>1</v>
      </c>
      <c r="X41" s="1">
        <f t="shared" si="35"/>
        <v>1.4</v>
      </c>
      <c r="Y41" s="1">
        <f t="shared" si="36"/>
        <v>3</v>
      </c>
      <c r="Z41" s="1">
        <f t="shared" si="37"/>
        <v>4</v>
      </c>
      <c r="AA41" s="1">
        <f t="shared" si="38"/>
        <v>0.13</v>
      </c>
      <c r="AB41" s="1">
        <f t="shared" si="39"/>
        <v>0.17299999999999999</v>
      </c>
      <c r="AC41" s="1">
        <f t="shared" si="40"/>
        <v>0.108</v>
      </c>
      <c r="AD41" s="1">
        <f t="shared" si="41"/>
        <v>0.14499999999999999</v>
      </c>
      <c r="AE41" s="1">
        <f t="shared" si="21"/>
        <v>0.15378318584070796</v>
      </c>
      <c r="AF41" s="1">
        <f t="shared" si="22"/>
        <v>0.12846460176991148</v>
      </c>
      <c r="AJ41" s="35">
        <v>4.4000000000000004</v>
      </c>
      <c r="AK41" s="35">
        <v>4.8</v>
      </c>
      <c r="AL41" s="35">
        <v>6.7000000000000004E-2</v>
      </c>
      <c r="AM41" s="35">
        <v>7.6999999999999999E-2</v>
      </c>
      <c r="AN41" s="35">
        <v>0.105</v>
      </c>
      <c r="AO41" s="35">
        <v>0.13</v>
      </c>
      <c r="AP41" s="35">
        <v>0.161</v>
      </c>
      <c r="AQ41" s="35">
        <v>0.192</v>
      </c>
      <c r="AR41" s="35">
        <v>0.23</v>
      </c>
      <c r="AS41" s="35">
        <v>0.25800000000000001</v>
      </c>
    </row>
    <row r="42" spans="1:45">
      <c r="A42" s="3">
        <v>19</v>
      </c>
      <c r="B42" s="30">
        <f t="shared" si="23"/>
        <v>0.8</v>
      </c>
      <c r="C42" s="9">
        <f t="shared" si="32"/>
        <v>14.000000000000005</v>
      </c>
      <c r="D42" s="18">
        <f t="shared" si="33"/>
        <v>4.1297935103244852</v>
      </c>
      <c r="E42" s="18">
        <f t="shared" si="25"/>
        <v>1.2212389380530972</v>
      </c>
      <c r="F42" s="18">
        <f t="shared" si="28"/>
        <v>0.12187155089148186</v>
      </c>
      <c r="G42" s="9">
        <f t="shared" si="29"/>
        <v>10.081</v>
      </c>
      <c r="H42" s="9">
        <f t="shared" si="30"/>
        <v>462.10000000000031</v>
      </c>
      <c r="I42" s="9" t="str">
        <f t="shared" si="7"/>
        <v>hết lún</v>
      </c>
      <c r="J42" s="9">
        <f t="shared" si="31"/>
        <v>7350</v>
      </c>
      <c r="K42" s="9">
        <f t="shared" si="26"/>
        <v>0</v>
      </c>
      <c r="L42" s="17">
        <f t="shared" si="0"/>
        <v>-10.081</v>
      </c>
      <c r="M42" s="3" t="e">
        <f t="shared" si="8"/>
        <v>#N/A</v>
      </c>
      <c r="N42" s="13" t="e">
        <f t="shared" si="1"/>
        <v>#N/A</v>
      </c>
      <c r="O42" s="13" t="e">
        <f t="shared" si="2"/>
        <v>#N/A</v>
      </c>
      <c r="P42" s="13" t="e">
        <f t="shared" si="3"/>
        <v>#N/A</v>
      </c>
      <c r="Q42" s="27">
        <f t="shared" si="9"/>
        <v>9.3800000000000008</v>
      </c>
      <c r="R42" s="1" t="str">
        <f t="shared" si="10"/>
        <v>dùng gama đẩy nổi</v>
      </c>
      <c r="U42" s="1">
        <f t="shared" si="11"/>
        <v>4</v>
      </c>
      <c r="V42" s="1">
        <f t="shared" si="34"/>
        <v>4.4000000000000004</v>
      </c>
      <c r="W42" s="1">
        <f t="shared" si="13"/>
        <v>1</v>
      </c>
      <c r="X42" s="1">
        <f t="shared" si="35"/>
        <v>1.4</v>
      </c>
      <c r="Y42" s="1">
        <f t="shared" si="36"/>
        <v>3</v>
      </c>
      <c r="Z42" s="1">
        <f t="shared" si="37"/>
        <v>4</v>
      </c>
      <c r="AA42" s="1">
        <f t="shared" si="38"/>
        <v>0.108</v>
      </c>
      <c r="AB42" s="1">
        <f t="shared" si="39"/>
        <v>0.14499999999999999</v>
      </c>
      <c r="AC42" s="1">
        <f t="shared" si="40"/>
        <v>9.0999999999999998E-2</v>
      </c>
      <c r="AD42" s="1">
        <f t="shared" si="41"/>
        <v>0.122</v>
      </c>
      <c r="AE42" s="1">
        <f t="shared" si="21"/>
        <v>0.12846460176991148</v>
      </c>
      <c r="AF42" s="1">
        <f t="shared" si="22"/>
        <v>0.10814601769911504</v>
      </c>
      <c r="AJ42" s="35">
        <v>4.8</v>
      </c>
      <c r="AK42" s="35">
        <v>5.2</v>
      </c>
      <c r="AL42" s="35">
        <v>5.2999999999999999E-2</v>
      </c>
      <c r="AM42" s="35">
        <v>6.6000000000000003E-2</v>
      </c>
      <c r="AN42" s="35">
        <v>9.0999999999999998E-2</v>
      </c>
      <c r="AO42" s="35">
        <v>0.112</v>
      </c>
      <c r="AP42" s="35">
        <v>0.14099999999999999</v>
      </c>
      <c r="AQ42" s="35">
        <v>0.17</v>
      </c>
      <c r="AR42" s="35">
        <v>0.20799999999999999</v>
      </c>
      <c r="AS42" s="35">
        <v>0.23899999999999999</v>
      </c>
    </row>
    <row r="43" spans="1:45">
      <c r="A43" s="3">
        <v>20</v>
      </c>
      <c r="B43" s="30">
        <f t="shared" si="23"/>
        <v>0.8</v>
      </c>
      <c r="C43" s="9">
        <f t="shared" si="32"/>
        <v>14.800000000000006</v>
      </c>
      <c r="D43" s="18">
        <f t="shared" si="33"/>
        <v>4.3657817109144563</v>
      </c>
      <c r="E43" s="18">
        <f t="shared" si="25"/>
        <v>1.2212389380530972</v>
      </c>
      <c r="F43" s="18">
        <f t="shared" si="28"/>
        <v>0.10988418565797362</v>
      </c>
      <c r="G43" s="9">
        <f t="shared" si="29"/>
        <v>9.09</v>
      </c>
      <c r="H43" s="9">
        <f t="shared" si="30"/>
        <v>469.60400000000033</v>
      </c>
      <c r="I43" s="9" t="str">
        <f t="shared" si="7"/>
        <v>hết lún</v>
      </c>
      <c r="J43" s="9">
        <f t="shared" si="31"/>
        <v>7350</v>
      </c>
      <c r="K43" s="9">
        <f t="shared" si="26"/>
        <v>0</v>
      </c>
      <c r="L43" s="17">
        <f t="shared" si="0"/>
        <v>-9.09</v>
      </c>
      <c r="M43" s="3" t="e">
        <f t="shared" si="8"/>
        <v>#N/A</v>
      </c>
      <c r="N43" s="13" t="e">
        <f t="shared" si="1"/>
        <v>#N/A</v>
      </c>
      <c r="O43" s="13" t="e">
        <f t="shared" si="2"/>
        <v>#N/A</v>
      </c>
      <c r="P43" s="13" t="e">
        <f t="shared" si="3"/>
        <v>#N/A</v>
      </c>
      <c r="Q43" s="27">
        <f t="shared" si="9"/>
        <v>9.3800000000000008</v>
      </c>
      <c r="R43" s="1" t="str">
        <f t="shared" si="10"/>
        <v>dùng gama đẩy nổi</v>
      </c>
      <c r="U43" s="1">
        <f t="shared" si="11"/>
        <v>4</v>
      </c>
      <c r="V43" s="1">
        <f t="shared" si="34"/>
        <v>4.4000000000000004</v>
      </c>
      <c r="W43" s="1">
        <f t="shared" si="13"/>
        <v>1</v>
      </c>
      <c r="X43" s="1">
        <f t="shared" si="35"/>
        <v>1.4</v>
      </c>
      <c r="Y43" s="1">
        <f t="shared" si="36"/>
        <v>3</v>
      </c>
      <c r="Z43" s="1">
        <f t="shared" si="37"/>
        <v>4</v>
      </c>
      <c r="AA43" s="1">
        <f t="shared" si="38"/>
        <v>0.108</v>
      </c>
      <c r="AB43" s="1">
        <f t="shared" si="39"/>
        <v>0.14499999999999999</v>
      </c>
      <c r="AC43" s="1">
        <f t="shared" si="40"/>
        <v>9.0999999999999998E-2</v>
      </c>
      <c r="AD43" s="1">
        <f t="shared" si="41"/>
        <v>0.122</v>
      </c>
      <c r="AE43" s="1">
        <f t="shared" si="21"/>
        <v>0.12846460176991148</v>
      </c>
      <c r="AF43" s="1">
        <f t="shared" si="22"/>
        <v>0.10814601769911504</v>
      </c>
      <c r="AJ43" s="35">
        <v>5.2</v>
      </c>
      <c r="AK43" s="35">
        <v>5.6</v>
      </c>
      <c r="AL43" s="35">
        <v>4.5999999999999999E-2</v>
      </c>
      <c r="AM43" s="35">
        <v>5.8000000000000003E-2</v>
      </c>
      <c r="AN43" s="35">
        <v>7.9000000000000001E-2</v>
      </c>
      <c r="AO43" s="35">
        <v>9.9000000000000005E-2</v>
      </c>
      <c r="AP43" s="35">
        <v>0.124</v>
      </c>
      <c r="AQ43" s="35">
        <v>0.152</v>
      </c>
      <c r="AR43" s="35">
        <v>0.189</v>
      </c>
      <c r="AS43" s="35">
        <v>0.223</v>
      </c>
    </row>
    <row r="44" spans="1:45">
      <c r="A44" s="3">
        <v>21</v>
      </c>
      <c r="B44" s="30">
        <f t="shared" si="23"/>
        <v>0.8</v>
      </c>
      <c r="C44" s="9">
        <f t="shared" si="32"/>
        <v>15.600000000000007</v>
      </c>
      <c r="D44" s="18">
        <f t="shared" si="33"/>
        <v>4.6017699115044266</v>
      </c>
      <c r="E44" s="18">
        <f t="shared" si="25"/>
        <v>1.2212389380530972</v>
      </c>
      <c r="F44" s="18">
        <f t="shared" si="28"/>
        <v>0.10024708277860434</v>
      </c>
      <c r="G44" s="9">
        <f t="shared" si="29"/>
        <v>8.2919999999999998</v>
      </c>
      <c r="H44" s="9">
        <f t="shared" si="30"/>
        <v>477.10800000000035</v>
      </c>
      <c r="I44" s="9" t="str">
        <f t="shared" si="7"/>
        <v>hết lún</v>
      </c>
      <c r="J44" s="9">
        <f t="shared" si="31"/>
        <v>7350</v>
      </c>
      <c r="K44" s="9">
        <f t="shared" si="26"/>
        <v>0</v>
      </c>
      <c r="L44" s="17">
        <f t="shared" si="0"/>
        <v>-8.2919999999999998</v>
      </c>
      <c r="M44" s="3" t="e">
        <f t="shared" si="8"/>
        <v>#N/A</v>
      </c>
      <c r="N44" s="13" t="e">
        <f t="shared" si="1"/>
        <v>#N/A</v>
      </c>
      <c r="O44" s="13" t="e">
        <f t="shared" si="2"/>
        <v>#N/A</v>
      </c>
      <c r="P44" s="13" t="e">
        <f t="shared" si="3"/>
        <v>#N/A</v>
      </c>
      <c r="Q44" s="27">
        <f t="shared" si="9"/>
        <v>9.3800000000000008</v>
      </c>
      <c r="R44" s="1" t="str">
        <f t="shared" si="10"/>
        <v>dùng gama đẩy nổi</v>
      </c>
      <c r="U44" s="1">
        <f t="shared" si="11"/>
        <v>4.4000000000000004</v>
      </c>
      <c r="V44" s="1">
        <f t="shared" si="34"/>
        <v>4.8</v>
      </c>
      <c r="W44" s="1">
        <f t="shared" si="13"/>
        <v>1</v>
      </c>
      <c r="X44" s="1">
        <f t="shared" si="35"/>
        <v>1.4</v>
      </c>
      <c r="Y44" s="1">
        <f t="shared" si="36"/>
        <v>3</v>
      </c>
      <c r="Z44" s="1">
        <f t="shared" si="37"/>
        <v>4</v>
      </c>
      <c r="AA44" s="1">
        <f t="shared" si="38"/>
        <v>9.0999999999999998E-2</v>
      </c>
      <c r="AB44" s="1">
        <f t="shared" si="39"/>
        <v>0.122</v>
      </c>
      <c r="AC44" s="1">
        <f t="shared" si="40"/>
        <v>7.6999999999999999E-2</v>
      </c>
      <c r="AD44" s="1">
        <f t="shared" si="41"/>
        <v>0.105</v>
      </c>
      <c r="AE44" s="1">
        <f t="shared" si="21"/>
        <v>0.10814601769911504</v>
      </c>
      <c r="AF44" s="1">
        <f t="shared" si="22"/>
        <v>9.2486725663716809E-2</v>
      </c>
      <c r="AJ44" s="35">
        <v>5.6</v>
      </c>
      <c r="AK44" s="35">
        <v>6</v>
      </c>
      <c r="AL44" s="35">
        <v>0.04</v>
      </c>
      <c r="AM44" s="35">
        <v>5.0999999999999997E-2</v>
      </c>
      <c r="AN44" s="35">
        <v>7.0000000000000007E-2</v>
      </c>
      <c r="AO44" s="35">
        <v>8.6999999999999994E-2</v>
      </c>
      <c r="AP44" s="35">
        <v>0.11</v>
      </c>
      <c r="AQ44" s="35">
        <v>0.13600000000000001</v>
      </c>
      <c r="AR44" s="35">
        <v>0.17199999999999999</v>
      </c>
      <c r="AS44" s="35">
        <v>0.20799999999999999</v>
      </c>
    </row>
    <row r="45" spans="1:45">
      <c r="A45" s="3">
        <v>22</v>
      </c>
      <c r="B45" s="30">
        <f t="shared" si="23"/>
        <v>0.8</v>
      </c>
      <c r="C45" s="9">
        <f t="shared" si="32"/>
        <v>16.400000000000006</v>
      </c>
      <c r="D45" s="18">
        <f t="shared" si="33"/>
        <v>4.8377581120943969</v>
      </c>
      <c r="E45" s="18">
        <f t="shared" si="25"/>
        <v>1.2212389380530972</v>
      </c>
      <c r="F45" s="18">
        <f t="shared" si="28"/>
        <v>9.1291748244446136E-2</v>
      </c>
      <c r="G45" s="9">
        <f t="shared" si="29"/>
        <v>7.5519999999999996</v>
      </c>
      <c r="H45" s="9">
        <f t="shared" si="30"/>
        <v>484.61200000000036</v>
      </c>
      <c r="I45" s="9" t="str">
        <f t="shared" si="7"/>
        <v>hết lún</v>
      </c>
      <c r="J45" s="9">
        <f t="shared" si="31"/>
        <v>7350</v>
      </c>
      <c r="K45" s="9">
        <f t="shared" si="26"/>
        <v>0</v>
      </c>
      <c r="L45" s="17">
        <f t="shared" si="0"/>
        <v>-7.5519999999999996</v>
      </c>
      <c r="M45" s="3" t="e">
        <f t="shared" si="8"/>
        <v>#N/A</v>
      </c>
      <c r="N45" s="13" t="e">
        <f t="shared" si="1"/>
        <v>#N/A</v>
      </c>
      <c r="O45" s="13" t="e">
        <f t="shared" si="2"/>
        <v>#N/A</v>
      </c>
      <c r="P45" s="13" t="e">
        <f t="shared" si="3"/>
        <v>#N/A</v>
      </c>
      <c r="Q45" s="27">
        <f t="shared" si="9"/>
        <v>9.3800000000000008</v>
      </c>
      <c r="R45" s="1" t="str">
        <f t="shared" si="10"/>
        <v>dùng gama đẩy nổi</v>
      </c>
      <c r="U45" s="1">
        <f t="shared" si="11"/>
        <v>4.8</v>
      </c>
      <c r="V45" s="1">
        <f t="shared" si="34"/>
        <v>5.2</v>
      </c>
      <c r="W45" s="1">
        <f t="shared" si="13"/>
        <v>1</v>
      </c>
      <c r="X45" s="1">
        <f t="shared" si="35"/>
        <v>1.4</v>
      </c>
      <c r="Y45" s="1">
        <f t="shared" si="36"/>
        <v>3</v>
      </c>
      <c r="Z45" s="1">
        <f t="shared" si="37"/>
        <v>4</v>
      </c>
      <c r="AA45" s="1">
        <f t="shared" si="38"/>
        <v>7.6999999999999999E-2</v>
      </c>
      <c r="AB45" s="1">
        <f t="shared" si="39"/>
        <v>0.105</v>
      </c>
      <c r="AC45" s="1">
        <f t="shared" si="40"/>
        <v>6.6000000000000003E-2</v>
      </c>
      <c r="AD45" s="1">
        <f t="shared" si="41"/>
        <v>9.0999999999999998E-2</v>
      </c>
      <c r="AE45" s="1">
        <f t="shared" si="21"/>
        <v>9.2486725663716809E-2</v>
      </c>
      <c r="AF45" s="1">
        <f t="shared" si="22"/>
        <v>7.9827433628318581E-2</v>
      </c>
      <c r="AJ45" s="35">
        <v>6</v>
      </c>
      <c r="AK45" s="35">
        <v>6.4</v>
      </c>
      <c r="AL45" s="35">
        <v>3.5999999999999997E-2</v>
      </c>
      <c r="AM45" s="35">
        <v>4.4999999999999998E-2</v>
      </c>
      <c r="AN45" s="35">
        <v>6.2E-2</v>
      </c>
      <c r="AO45" s="35">
        <v>7.6999999999999999E-2</v>
      </c>
      <c r="AP45" s="35">
        <v>9.8000000000000004E-2</v>
      </c>
      <c r="AQ45" s="35">
        <v>0.122</v>
      </c>
      <c r="AR45" s="35">
        <v>0.158</v>
      </c>
      <c r="AS45" s="35">
        <v>0.106</v>
      </c>
    </row>
    <row r="46" spans="1:45">
      <c r="A46" s="3">
        <v>23</v>
      </c>
      <c r="B46" s="33">
        <f t="shared" si="23"/>
        <v>0.8</v>
      </c>
      <c r="C46" s="9">
        <f t="shared" si="32"/>
        <v>17.200000000000006</v>
      </c>
      <c r="D46" s="18">
        <f t="shared" si="33"/>
        <v>5.0737463126843672</v>
      </c>
      <c r="E46" s="18">
        <f t="shared" si="25"/>
        <v>1.2212389380530972</v>
      </c>
      <c r="F46" s="18">
        <f t="shared" si="28"/>
        <v>8.3823139374004707E-2</v>
      </c>
      <c r="G46" s="9">
        <f t="shared" si="29"/>
        <v>6.9340000000000002</v>
      </c>
      <c r="H46" s="9">
        <f t="shared" si="30"/>
        <v>492.11600000000038</v>
      </c>
      <c r="I46" s="9" t="str">
        <f t="shared" si="7"/>
        <v>hết lún</v>
      </c>
      <c r="J46" s="9">
        <f t="shared" si="31"/>
        <v>7350</v>
      </c>
      <c r="K46" s="9">
        <f t="shared" si="26"/>
        <v>0</v>
      </c>
      <c r="L46" s="17">
        <f t="shared" si="0"/>
        <v>-6.9340000000000002</v>
      </c>
      <c r="M46" s="3" t="e">
        <f t="shared" si="8"/>
        <v>#N/A</v>
      </c>
      <c r="N46" s="13" t="e">
        <f t="shared" si="1"/>
        <v>#N/A</v>
      </c>
      <c r="O46" s="13" t="e">
        <f t="shared" si="2"/>
        <v>#N/A</v>
      </c>
      <c r="P46" s="13" t="e">
        <f t="shared" si="3"/>
        <v>#N/A</v>
      </c>
      <c r="Q46" s="27">
        <f t="shared" si="9"/>
        <v>9.3800000000000008</v>
      </c>
      <c r="R46" s="1" t="str">
        <f t="shared" si="10"/>
        <v>dùng gama đẩy nổi</v>
      </c>
      <c r="U46" s="1">
        <f t="shared" si="11"/>
        <v>4.8</v>
      </c>
      <c r="V46" s="1">
        <f t="shared" si="34"/>
        <v>5.2</v>
      </c>
      <c r="W46" s="1">
        <f t="shared" si="13"/>
        <v>1</v>
      </c>
      <c r="X46" s="1">
        <f t="shared" si="35"/>
        <v>1.4</v>
      </c>
      <c r="Y46" s="1">
        <f t="shared" si="36"/>
        <v>3</v>
      </c>
      <c r="Z46" s="1">
        <f t="shared" si="37"/>
        <v>4</v>
      </c>
      <c r="AA46" s="1">
        <f t="shared" si="38"/>
        <v>7.6999999999999999E-2</v>
      </c>
      <c r="AB46" s="1">
        <f t="shared" si="39"/>
        <v>0.105</v>
      </c>
      <c r="AC46" s="1">
        <f t="shared" si="40"/>
        <v>6.6000000000000003E-2</v>
      </c>
      <c r="AD46" s="1">
        <f t="shared" si="41"/>
        <v>9.0999999999999998E-2</v>
      </c>
      <c r="AE46" s="1">
        <f t="shared" si="21"/>
        <v>9.2486725663716809E-2</v>
      </c>
      <c r="AF46" s="1">
        <f t="shared" si="22"/>
        <v>7.9827433628318581E-2</v>
      </c>
      <c r="AJ46" s="35">
        <v>6.4</v>
      </c>
      <c r="AK46" s="35">
        <v>6.8</v>
      </c>
      <c r="AL46" s="35">
        <v>3.2000000000000001E-2</v>
      </c>
      <c r="AM46" s="35">
        <v>0.04</v>
      </c>
      <c r="AN46" s="35">
        <v>5.5E-2</v>
      </c>
      <c r="AO46" s="35">
        <v>6.9000000000000006E-2</v>
      </c>
      <c r="AP46" s="35">
        <v>8.7999999999999995E-2</v>
      </c>
      <c r="AQ46" s="35">
        <v>0.11</v>
      </c>
      <c r="AR46" s="35">
        <v>0.14399999999999999</v>
      </c>
      <c r="AS46" s="35">
        <v>0.184</v>
      </c>
    </row>
    <row r="47" spans="1:45" ht="17.25">
      <c r="J47" s="1" t="s">
        <v>65</v>
      </c>
      <c r="K47" s="1">
        <f>SUM(K25:K46)*100</f>
        <v>2.0500000000000003</v>
      </c>
      <c r="Q47" s="1" t="s">
        <v>66</v>
      </c>
      <c r="AJ47" s="35">
        <v>6.8</v>
      </c>
      <c r="AK47" s="35">
        <v>7.2</v>
      </c>
      <c r="AL47" s="35">
        <v>2.8000000000000001E-2</v>
      </c>
      <c r="AM47" s="35">
        <v>3.5999999999999997E-2</v>
      </c>
      <c r="AN47" s="35">
        <v>4.9000000000000002E-2</v>
      </c>
      <c r="AO47" s="35">
        <v>6.2E-2</v>
      </c>
      <c r="AP47" s="35">
        <v>0.08</v>
      </c>
      <c r="AQ47" s="35">
        <v>0.1</v>
      </c>
      <c r="AR47" s="35">
        <v>0.13300000000000001</v>
      </c>
      <c r="AS47" s="35">
        <v>0.17499999999999999</v>
      </c>
    </row>
    <row r="48" spans="1:45">
      <c r="AJ48" s="35">
        <v>7.2</v>
      </c>
      <c r="AK48" s="35">
        <v>7.6</v>
      </c>
      <c r="AL48" s="35">
        <v>2.4E-2</v>
      </c>
      <c r="AM48" s="35">
        <v>3.2000000000000001E-2</v>
      </c>
      <c r="AN48" s="35">
        <v>4.3999999999999997E-2</v>
      </c>
      <c r="AO48" s="35">
        <v>5.6000000000000001E-2</v>
      </c>
      <c r="AP48" s="35">
        <v>7.1999999999999995E-2</v>
      </c>
      <c r="AQ48" s="35">
        <v>9.0999999999999998E-2</v>
      </c>
      <c r="AR48" s="35">
        <v>0.123</v>
      </c>
      <c r="AS48" s="35">
        <v>0.16600000000000001</v>
      </c>
    </row>
    <row r="49" spans="36:45">
      <c r="AJ49" s="35">
        <v>7.6</v>
      </c>
      <c r="AK49" s="35">
        <v>8</v>
      </c>
      <c r="AL49" s="35">
        <v>2.1999999999999999E-2</v>
      </c>
      <c r="AM49" s="35">
        <v>2.9000000000000001E-2</v>
      </c>
      <c r="AN49" s="35">
        <v>0.04</v>
      </c>
      <c r="AO49" s="35">
        <v>5.0999999999999997E-2</v>
      </c>
      <c r="AP49" s="35">
        <v>6.6000000000000003E-2</v>
      </c>
      <c r="AQ49" s="35">
        <v>8.4000000000000005E-2</v>
      </c>
      <c r="AR49" s="35">
        <v>0.113</v>
      </c>
      <c r="AS49" s="35">
        <v>0.158</v>
      </c>
    </row>
    <row r="50" spans="36:45">
      <c r="AJ50" s="35">
        <v>8</v>
      </c>
      <c r="AK50" s="35">
        <v>8.4</v>
      </c>
      <c r="AL50" s="35">
        <v>2.1000000000000001E-2</v>
      </c>
      <c r="AM50" s="35">
        <v>2.5999999999999999E-2</v>
      </c>
      <c r="AN50" s="35">
        <v>3.6999999999999998E-2</v>
      </c>
      <c r="AO50" s="35">
        <v>4.5999999999999999E-2</v>
      </c>
      <c r="AP50" s="35">
        <v>0.06</v>
      </c>
      <c r="AQ50" s="35">
        <v>7.6999999999999999E-2</v>
      </c>
      <c r="AR50" s="35">
        <v>0.105</v>
      </c>
      <c r="AS50" s="35">
        <v>0.15</v>
      </c>
    </row>
    <row r="51" spans="36:45" ht="25.5" customHeight="1">
      <c r="AJ51" s="35">
        <v>8.4</v>
      </c>
      <c r="AK51" s="35">
        <v>8.8000000000000007</v>
      </c>
      <c r="AL51" s="35">
        <v>1.9E-2</v>
      </c>
      <c r="AM51" s="35">
        <v>2.4E-2</v>
      </c>
      <c r="AN51" s="35">
        <v>3.4000000000000002E-2</v>
      </c>
      <c r="AO51" s="35">
        <v>4.2000000000000003E-2</v>
      </c>
      <c r="AP51" s="35">
        <v>5.5E-2</v>
      </c>
      <c r="AQ51" s="35">
        <v>7.0000000000000007E-2</v>
      </c>
      <c r="AR51" s="35">
        <v>9.8000000000000004E-2</v>
      </c>
      <c r="AS51" s="35">
        <v>0.14399999999999999</v>
      </c>
    </row>
    <row r="52" spans="36:45" ht="15.75" customHeight="1">
      <c r="AJ52" s="35">
        <v>8.8000000000000007</v>
      </c>
      <c r="AK52" s="35">
        <v>9.1999999999999993</v>
      </c>
      <c r="AL52" s="35">
        <v>1.7999999999999999E-2</v>
      </c>
      <c r="AM52" s="35">
        <v>2.1999999999999999E-2</v>
      </c>
      <c r="AN52" s="35">
        <v>3.1E-2</v>
      </c>
      <c r="AO52" s="35">
        <v>3.9E-2</v>
      </c>
      <c r="AP52" s="35">
        <v>5.0999999999999997E-2</v>
      </c>
      <c r="AQ52" s="35">
        <v>6.5000000000000002E-2</v>
      </c>
      <c r="AR52" s="35">
        <v>9.0999999999999998E-2</v>
      </c>
      <c r="AS52" s="35">
        <v>0.13700000000000001</v>
      </c>
    </row>
    <row r="53" spans="36:45">
      <c r="AJ53" s="35">
        <v>9.1999999999999993</v>
      </c>
      <c r="AK53" s="35">
        <v>9.6</v>
      </c>
      <c r="AL53" s="35">
        <v>1.6E-2</v>
      </c>
      <c r="AM53" s="35">
        <v>0.02</v>
      </c>
      <c r="AN53" s="35">
        <v>2.8000000000000001E-2</v>
      </c>
      <c r="AO53" s="35">
        <v>3.5999999999999997E-2</v>
      </c>
      <c r="AP53" s="35">
        <v>4.7E-2</v>
      </c>
      <c r="AQ53" s="35">
        <v>0.06</v>
      </c>
      <c r="AR53" s="35">
        <v>8.5000000000000006E-2</v>
      </c>
      <c r="AS53" s="35">
        <v>0.13200000000000001</v>
      </c>
    </row>
    <row r="54" spans="36:45">
      <c r="AJ54" s="35">
        <v>9.6</v>
      </c>
      <c r="AK54" s="35">
        <v>10</v>
      </c>
      <c r="AL54" s="35">
        <v>1.4999999999999999E-2</v>
      </c>
      <c r="AM54" s="35">
        <v>1.9E-2</v>
      </c>
      <c r="AN54" s="35">
        <v>2.5999999999999999E-2</v>
      </c>
      <c r="AO54" s="35">
        <v>3.3000000000000002E-2</v>
      </c>
      <c r="AP54" s="35">
        <v>4.3999999999999997E-2</v>
      </c>
      <c r="AQ54" s="35">
        <v>5.6000000000000001E-2</v>
      </c>
      <c r="AR54" s="35">
        <v>7.9000000000000001E-2</v>
      </c>
      <c r="AS54" s="35">
        <v>0.126</v>
      </c>
    </row>
    <row r="55" spans="36:45">
      <c r="AJ55" s="35">
        <v>10</v>
      </c>
      <c r="AK55" s="35">
        <v>11</v>
      </c>
      <c r="AL55" s="35">
        <v>1.0999999999999999E-2</v>
      </c>
      <c r="AM55" s="35">
        <v>1.7000000000000001E-2</v>
      </c>
      <c r="AN55" s="35">
        <v>2.3E-2</v>
      </c>
      <c r="AO55" s="35">
        <v>2.9000000000000001E-2</v>
      </c>
      <c r="AP55" s="35">
        <v>0.04</v>
      </c>
      <c r="AQ55" s="35">
        <v>0.05</v>
      </c>
      <c r="AR55" s="35">
        <v>7.0999999999999994E-2</v>
      </c>
      <c r="AS55" s="35">
        <v>0.114</v>
      </c>
    </row>
    <row r="56" spans="36:45">
      <c r="AJ56" s="35">
        <v>11</v>
      </c>
      <c r="AK56" s="35">
        <v>12</v>
      </c>
      <c r="AL56" s="35">
        <v>8.9999999999999993E-3</v>
      </c>
      <c r="AM56" s="35">
        <v>1.4999999999999999E-2</v>
      </c>
      <c r="AN56" s="35">
        <v>0.02</v>
      </c>
      <c r="AO56" s="35">
        <v>2.5999999999999999E-2</v>
      </c>
      <c r="AP56" s="35">
        <v>3.1E-2</v>
      </c>
      <c r="AQ56" s="35">
        <v>4.3999999999999997E-2</v>
      </c>
      <c r="AR56" s="35">
        <v>0.06</v>
      </c>
      <c r="AS56" s="35">
        <v>0.104</v>
      </c>
    </row>
    <row r="57" spans="36:45">
      <c r="AJ57" s="35">
        <v>12</v>
      </c>
      <c r="AK57" s="37" t="s">
        <v>67</v>
      </c>
      <c r="AL57" s="38"/>
      <c r="AM57" s="38"/>
      <c r="AN57" s="38"/>
      <c r="AO57" s="38"/>
      <c r="AP57" s="38"/>
      <c r="AQ57" s="38"/>
      <c r="AR57" s="38"/>
      <c r="AS57" s="39"/>
    </row>
    <row r="61" spans="36:45">
      <c r="AL61" s="35">
        <v>1</v>
      </c>
      <c r="AM61" s="35">
        <v>1.4</v>
      </c>
      <c r="AN61" s="35">
        <v>1.8</v>
      </c>
      <c r="AO61" s="35">
        <v>2.4</v>
      </c>
      <c r="AP61" s="35">
        <v>3.2</v>
      </c>
      <c r="AQ61" s="35">
        <v>5</v>
      </c>
    </row>
    <row r="62" spans="36:45">
      <c r="AK62" s="35">
        <v>1</v>
      </c>
      <c r="AL62" s="35">
        <v>1.4</v>
      </c>
      <c r="AM62" s="35">
        <v>1.8</v>
      </c>
      <c r="AN62" s="35">
        <v>2.4</v>
      </c>
      <c r="AO62" s="35">
        <v>3.2</v>
      </c>
      <c r="AP62" s="35">
        <v>5</v>
      </c>
      <c r="AQ62" s="35">
        <v>3.2</v>
      </c>
      <c r="AR62" s="35"/>
    </row>
  </sheetData>
  <sheetProtection selectLockedCells="1"/>
  <mergeCells count="5">
    <mergeCell ref="AL25:AR25"/>
    <mergeCell ref="AL26:AR26"/>
    <mergeCell ref="AK57:AS57"/>
    <mergeCell ref="A1:K1"/>
    <mergeCell ref="H6:Q8"/>
  </mergeCells>
  <conditionalFormatting sqref="B26:B46">
    <cfRule type="expression" dxfId="3" priority="4">
      <formula>IF(B26&lt;$C$21,TRUE,FALSE)</formula>
    </cfRule>
  </conditionalFormatting>
  <conditionalFormatting sqref="I24:I46">
    <cfRule type="expression" dxfId="2" priority="1">
      <formula>IF(I24="đéo lún nữa",TRUE,FALSE)</formula>
    </cfRule>
  </conditionalFormatting>
  <conditionalFormatting sqref="K25:K46">
    <cfRule type="expression" dxfId="1" priority="3">
      <formula>IF(G25&lt;=H25/5,TRUE,FALSE)</formula>
    </cfRule>
  </conditionalFormatting>
  <conditionalFormatting sqref="R24:R46">
    <cfRule type="expression" dxfId="0" priority="2">
      <formula>IF(C24&gt;$S$17,TRUE,FALSE)</formula>
    </cfRule>
  </conditionalFormatting>
  <dataValidations count="1">
    <dataValidation type="decimal" operator="lessThanOrEqual" allowBlank="1" showInputMessage="1" showErrorMessage="1" errorTitle="LỖI" error="BẠN ĐÃ NHẬP SAI" promptTitle="Thông Báo" prompt="BẠN CHỈ ĐƯỢC NHẬP GIÁ TRỊ &lt;=B/4" sqref="C21" xr:uid="{00000000-0002-0000-0000-000000000000}">
      <formula1>C4/4</formula1>
    </dataValidation>
  </dataValidations>
  <pageMargins left="0.98425196850393704" right="0.39370078740157483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C51"/>
  <sheetViews>
    <sheetView zoomScale="115" zoomScaleNormal="115" workbookViewId="0">
      <selection activeCell="E13" sqref="E13"/>
    </sheetView>
  </sheetViews>
  <sheetFormatPr defaultRowHeight="15.75"/>
  <cols>
    <col min="1" max="1" width="9.140625" style="1"/>
    <col min="2" max="2" width="10.140625" style="1" customWidth="1"/>
    <col min="3" max="3" width="9.140625" style="1"/>
    <col min="4" max="4" width="5" style="1" bestFit="1" customWidth="1"/>
    <col min="5" max="11" width="9.140625" style="1"/>
    <col min="12" max="13" width="12.140625" style="1" bestFit="1" customWidth="1"/>
    <col min="14" max="19" width="9.140625" style="1"/>
    <col min="20" max="20" width="9.140625" style="1" hidden="1" customWidth="1"/>
    <col min="21" max="16384" width="9.140625" style="1"/>
  </cols>
  <sheetData>
    <row r="2" spans="1:29">
      <c r="A2" s="1" t="s">
        <v>1</v>
      </c>
    </row>
    <row r="3" spans="1:29">
      <c r="B3" s="1" t="s">
        <v>2</v>
      </c>
      <c r="C3" s="4">
        <v>2.2000000000000002</v>
      </c>
      <c r="D3" s="1" t="s">
        <v>3</v>
      </c>
    </row>
    <row r="4" spans="1:29">
      <c r="B4" s="1" t="s">
        <v>4</v>
      </c>
      <c r="C4" s="4">
        <v>2</v>
      </c>
      <c r="D4" s="1" t="s">
        <v>3</v>
      </c>
    </row>
    <row r="6" spans="1:29">
      <c r="A6" s="1" t="s">
        <v>27</v>
      </c>
      <c r="B6" s="4">
        <v>0.5</v>
      </c>
    </row>
    <row r="9" spans="1:29">
      <c r="A9" s="10" t="s">
        <v>9</v>
      </c>
      <c r="B9" s="10" t="s">
        <v>29</v>
      </c>
      <c r="C9" s="10" t="s">
        <v>30</v>
      </c>
      <c r="D9" s="10" t="s">
        <v>31</v>
      </c>
      <c r="E9" s="10" t="s">
        <v>32</v>
      </c>
      <c r="F9" s="10" t="s">
        <v>33</v>
      </c>
      <c r="H9" s="1" t="s">
        <v>44</v>
      </c>
      <c r="I9" s="1" t="s">
        <v>45</v>
      </c>
      <c r="J9" s="1" t="s">
        <v>46</v>
      </c>
      <c r="K9" s="1" t="s">
        <v>47</v>
      </c>
      <c r="L9" s="1" t="s">
        <v>68</v>
      </c>
      <c r="M9" s="1" t="s">
        <v>69</v>
      </c>
      <c r="N9" s="1" t="s">
        <v>50</v>
      </c>
      <c r="O9" s="1" t="s">
        <v>51</v>
      </c>
      <c r="P9" s="1" t="s">
        <v>52</v>
      </c>
      <c r="Q9" s="1" t="s">
        <v>53</v>
      </c>
      <c r="R9" s="1" t="s">
        <v>54</v>
      </c>
      <c r="S9" s="1" t="s">
        <v>55</v>
      </c>
      <c r="U9" s="2" t="s">
        <v>56</v>
      </c>
      <c r="V9" s="3"/>
      <c r="W9" s="3"/>
      <c r="X9" s="3"/>
      <c r="Y9" s="3"/>
      <c r="Z9" s="3"/>
      <c r="AA9" s="3"/>
      <c r="AB9" s="3"/>
      <c r="AC9" s="3"/>
    </row>
    <row r="10" spans="1:29">
      <c r="A10" s="3">
        <v>1</v>
      </c>
      <c r="B10" s="9">
        <v>0</v>
      </c>
      <c r="C10" s="9">
        <v>0</v>
      </c>
      <c r="D10" s="9">
        <v>0</v>
      </c>
      <c r="E10" s="18">
        <f>$C$3/$C$4</f>
        <v>1.1000000000000001</v>
      </c>
      <c r="F10" s="9">
        <v>1</v>
      </c>
      <c r="U10" s="35" t="s">
        <v>57</v>
      </c>
      <c r="V10" s="36" t="s">
        <v>58</v>
      </c>
      <c r="W10" s="36"/>
      <c r="X10" s="36"/>
      <c r="Y10" s="36"/>
      <c r="Z10" s="36"/>
      <c r="AA10" s="36"/>
      <c r="AB10" s="36"/>
      <c r="AC10" s="35" t="s">
        <v>59</v>
      </c>
    </row>
    <row r="11" spans="1:29">
      <c r="A11" s="3">
        <v>2</v>
      </c>
      <c r="B11" s="24">
        <f>$B$6</f>
        <v>0.5</v>
      </c>
      <c r="C11" s="9">
        <f>C10+B11</f>
        <v>0.5</v>
      </c>
      <c r="D11" s="18">
        <f>2*C11/$C$4</f>
        <v>0.5</v>
      </c>
      <c r="E11" s="18">
        <f t="shared" ref="E11:E32" si="0">$C$3/$C$4</f>
        <v>1.1000000000000001</v>
      </c>
      <c r="F11" s="18">
        <f>FORECAST(D11,R11:S11,H11:I11)</f>
        <v>0.92525000000000002</v>
      </c>
      <c r="H11" s="1">
        <f>VLOOKUP(D11,$U$14:$U$41,1)</f>
        <v>0.4</v>
      </c>
      <c r="I11" s="1">
        <f>VLOOKUP(H11,$T$15:$U$41,2,TRUE)</f>
        <v>0.8</v>
      </c>
      <c r="J11" s="1">
        <f>HLOOKUP(E11,$W$12:$AB$12,1)</f>
        <v>1</v>
      </c>
      <c r="K11" s="1">
        <f>HLOOKUP(J11,$W$49:$AA$50,2,0)</f>
        <v>1.4</v>
      </c>
      <c r="L11" s="1">
        <f>HLOOKUP(J11,W49:AA51,3,0)</f>
        <v>3</v>
      </c>
      <c r="M11" s="1">
        <f>HLOOKUP(K11,W49:AA51,3,0)</f>
        <v>4</v>
      </c>
      <c r="N11" s="1">
        <f>VLOOKUP(H11,U13:AC41,L11,0)</f>
        <v>0.96</v>
      </c>
      <c r="O11" s="1">
        <f>VLOOKUP(H11,U13:AC41,M11,0)</f>
        <v>0.97199999999999998</v>
      </c>
      <c r="P11" s="1">
        <f>VLOOKUP(I11,U13:AC41,L11,0)</f>
        <v>0.8</v>
      </c>
      <c r="Q11" s="1">
        <f>VLOOKUP(I11,U13:AC41,M11,0)</f>
        <v>0.84799999999999998</v>
      </c>
      <c r="R11" s="1">
        <f>FORECAST(E11,N11:O11,J11:K11)</f>
        <v>0.96299999999999997</v>
      </c>
      <c r="S11" s="1">
        <f>FORECAST(E11,P11:Q11,J11:K11)</f>
        <v>0.81200000000000006</v>
      </c>
      <c r="U11" s="35" t="s">
        <v>60</v>
      </c>
      <c r="V11" s="36" t="s">
        <v>61</v>
      </c>
      <c r="W11" s="36"/>
      <c r="X11" s="36"/>
      <c r="Y11" s="36"/>
      <c r="Z11" s="36"/>
      <c r="AA11" s="36"/>
      <c r="AB11" s="36"/>
      <c r="AC11" s="35" t="s">
        <v>62</v>
      </c>
    </row>
    <row r="12" spans="1:29">
      <c r="A12" s="3">
        <v>3</v>
      </c>
      <c r="B12" s="24">
        <f t="shared" ref="B12:B32" si="1">$B$6</f>
        <v>0.5</v>
      </c>
      <c r="C12" s="9">
        <f t="shared" ref="C12:C32" si="2">C11+B12</f>
        <v>1</v>
      </c>
      <c r="D12" s="18">
        <f t="shared" ref="D12:D32" si="3">2*C12/$C$4</f>
        <v>1</v>
      </c>
      <c r="E12" s="18">
        <f t="shared" si="0"/>
        <v>1.1000000000000001</v>
      </c>
      <c r="F12" s="18"/>
      <c r="H12" s="1">
        <f t="shared" ref="H12:H32" si="4">VLOOKUP(D12,$U$14:$U$41,1)</f>
        <v>0.8</v>
      </c>
      <c r="I12" s="1">
        <f t="shared" ref="I12:I32" si="5">VLOOKUP(H12,$T$15:$U$41,2,TRUE)</f>
        <v>1.2</v>
      </c>
      <c r="J12" s="1">
        <f t="shared" ref="J12:J32" si="6">HLOOKUP(E12,$W$12:$AB$12,1)</f>
        <v>1</v>
      </c>
      <c r="K12" s="1">
        <f t="shared" ref="K12:K32" si="7">HLOOKUP(J12,$W$49:$AA$50,2,0)</f>
        <v>1.4</v>
      </c>
      <c r="U12" s="35" t="s">
        <v>63</v>
      </c>
      <c r="V12" s="35" t="s">
        <v>64</v>
      </c>
      <c r="W12" s="35">
        <v>1</v>
      </c>
      <c r="X12" s="35">
        <v>1.4</v>
      </c>
      <c r="Y12" s="35">
        <v>1.8</v>
      </c>
      <c r="Z12" s="35">
        <v>2.4</v>
      </c>
      <c r="AA12" s="35">
        <v>3.2</v>
      </c>
      <c r="AB12" s="35">
        <v>5</v>
      </c>
      <c r="AC12" s="5"/>
    </row>
    <row r="13" spans="1:29">
      <c r="A13" s="3">
        <v>4</v>
      </c>
      <c r="B13" s="24">
        <f t="shared" si="1"/>
        <v>0.5</v>
      </c>
      <c r="C13" s="9">
        <f t="shared" si="2"/>
        <v>1.5</v>
      </c>
      <c r="D13" s="18">
        <f t="shared" si="3"/>
        <v>1.5</v>
      </c>
      <c r="E13" s="18">
        <f t="shared" si="0"/>
        <v>1.1000000000000001</v>
      </c>
      <c r="F13" s="18"/>
      <c r="H13" s="1">
        <f t="shared" si="4"/>
        <v>1.2</v>
      </c>
      <c r="I13" s="1">
        <f t="shared" si="5"/>
        <v>1.6</v>
      </c>
      <c r="J13" s="1">
        <f t="shared" si="6"/>
        <v>1</v>
      </c>
      <c r="K13" s="1">
        <f t="shared" si="7"/>
        <v>1.4</v>
      </c>
      <c r="U13" s="23">
        <v>1</v>
      </c>
      <c r="V13" s="23">
        <v>2</v>
      </c>
      <c r="W13" s="23">
        <v>3</v>
      </c>
      <c r="X13" s="23">
        <v>4</v>
      </c>
      <c r="Y13" s="23">
        <v>5</v>
      </c>
      <c r="Z13" s="23">
        <v>6</v>
      </c>
      <c r="AA13" s="23">
        <v>7</v>
      </c>
      <c r="AB13" s="23">
        <v>8</v>
      </c>
      <c r="AC13" s="23">
        <v>9</v>
      </c>
    </row>
    <row r="14" spans="1:29">
      <c r="A14" s="3">
        <v>5</v>
      </c>
      <c r="B14" s="24">
        <f t="shared" si="1"/>
        <v>0.5</v>
      </c>
      <c r="C14" s="9">
        <f t="shared" si="2"/>
        <v>2</v>
      </c>
      <c r="D14" s="18">
        <f t="shared" si="3"/>
        <v>2</v>
      </c>
      <c r="E14" s="18">
        <f t="shared" si="0"/>
        <v>1.1000000000000001</v>
      </c>
      <c r="F14" s="18"/>
      <c r="H14" s="1">
        <f t="shared" si="4"/>
        <v>2</v>
      </c>
      <c r="I14" s="1">
        <f t="shared" si="5"/>
        <v>2.4</v>
      </c>
      <c r="J14" s="1">
        <f t="shared" si="6"/>
        <v>1</v>
      </c>
      <c r="K14" s="1">
        <f t="shared" si="7"/>
        <v>1.4</v>
      </c>
      <c r="U14" s="35">
        <v>0</v>
      </c>
      <c r="V14" s="6">
        <v>1</v>
      </c>
      <c r="W14" s="22">
        <v>1</v>
      </c>
      <c r="X14" s="22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</row>
    <row r="15" spans="1:29">
      <c r="A15" s="3">
        <v>6</v>
      </c>
      <c r="B15" s="24">
        <f t="shared" si="1"/>
        <v>0.5</v>
      </c>
      <c r="C15" s="9">
        <f t="shared" si="2"/>
        <v>2.5</v>
      </c>
      <c r="D15" s="18">
        <f t="shared" si="3"/>
        <v>2.5</v>
      </c>
      <c r="E15" s="18">
        <f t="shared" si="0"/>
        <v>1.1000000000000001</v>
      </c>
      <c r="F15" s="18"/>
      <c r="H15" s="1">
        <f t="shared" si="4"/>
        <v>2.4</v>
      </c>
      <c r="I15" s="1">
        <f t="shared" si="5"/>
        <v>2.8</v>
      </c>
      <c r="J15" s="1">
        <f t="shared" si="6"/>
        <v>1</v>
      </c>
      <c r="K15" s="1">
        <f t="shared" si="7"/>
        <v>1.4</v>
      </c>
      <c r="T15" s="35">
        <v>0</v>
      </c>
      <c r="U15" s="35">
        <v>0.4</v>
      </c>
      <c r="V15" s="35">
        <v>0.94899999999999995</v>
      </c>
      <c r="W15" s="21">
        <v>0.96</v>
      </c>
      <c r="X15" s="21">
        <v>0.97199999999999998</v>
      </c>
      <c r="Y15" s="19">
        <v>0.97499999999999998</v>
      </c>
      <c r="Z15" s="35">
        <v>0.97599999999999998</v>
      </c>
      <c r="AA15" s="35">
        <v>0.97699999999999998</v>
      </c>
      <c r="AB15" s="35">
        <v>0.97699999999999998</v>
      </c>
      <c r="AC15" s="35">
        <v>0.97699999999999998</v>
      </c>
    </row>
    <row r="16" spans="1:29">
      <c r="A16" s="3">
        <v>7</v>
      </c>
      <c r="B16" s="24">
        <f t="shared" si="1"/>
        <v>0.5</v>
      </c>
      <c r="C16" s="9">
        <f t="shared" si="2"/>
        <v>3</v>
      </c>
      <c r="D16" s="18">
        <f t="shared" si="3"/>
        <v>3</v>
      </c>
      <c r="E16" s="18">
        <f t="shared" si="0"/>
        <v>1.1000000000000001</v>
      </c>
      <c r="F16" s="18"/>
      <c r="H16" s="1">
        <f t="shared" si="4"/>
        <v>2.8</v>
      </c>
      <c r="I16" s="1">
        <f t="shared" si="5"/>
        <v>3.2</v>
      </c>
      <c r="J16" s="1">
        <f t="shared" si="6"/>
        <v>1</v>
      </c>
      <c r="K16" s="1">
        <f t="shared" si="7"/>
        <v>1.4</v>
      </c>
      <c r="T16" s="35">
        <v>0.4</v>
      </c>
      <c r="U16" s="35">
        <v>0.8</v>
      </c>
      <c r="V16" s="35">
        <v>0.75600000000000001</v>
      </c>
      <c r="W16" s="35">
        <v>0.8</v>
      </c>
      <c r="X16" s="19">
        <v>0.84799999999999998</v>
      </c>
      <c r="Y16" s="19">
        <v>0.86599999999999999</v>
      </c>
      <c r="Z16" s="35">
        <v>0.875</v>
      </c>
      <c r="AA16" s="35">
        <v>0.879</v>
      </c>
      <c r="AB16" s="35">
        <v>0.88100000000000001</v>
      </c>
      <c r="AC16" s="35">
        <v>0.88100000000000001</v>
      </c>
    </row>
    <row r="17" spans="1:29">
      <c r="A17" s="3">
        <v>8</v>
      </c>
      <c r="B17" s="24">
        <f t="shared" si="1"/>
        <v>0.5</v>
      </c>
      <c r="C17" s="9">
        <f t="shared" si="2"/>
        <v>3.5</v>
      </c>
      <c r="D17" s="18">
        <f t="shared" si="3"/>
        <v>3.5</v>
      </c>
      <c r="E17" s="18">
        <f t="shared" si="0"/>
        <v>1.1000000000000001</v>
      </c>
      <c r="F17" s="18"/>
      <c r="H17" s="1">
        <f t="shared" si="4"/>
        <v>3.2</v>
      </c>
      <c r="I17" s="1">
        <f t="shared" si="5"/>
        <v>3.6</v>
      </c>
      <c r="J17" s="1">
        <f t="shared" si="6"/>
        <v>1</v>
      </c>
      <c r="K17" s="1">
        <f t="shared" si="7"/>
        <v>1.4</v>
      </c>
      <c r="T17" s="35">
        <v>0.8</v>
      </c>
      <c r="U17" s="35">
        <v>1.2</v>
      </c>
      <c r="V17" s="35">
        <v>0.54700000000000004</v>
      </c>
      <c r="W17" s="35">
        <v>0.60599999999999998</v>
      </c>
      <c r="X17" s="35">
        <v>0.68200000000000005</v>
      </c>
      <c r="Y17" s="35">
        <v>0.71699999999999997</v>
      </c>
      <c r="Z17" s="35">
        <v>0.74</v>
      </c>
      <c r="AA17" s="35">
        <v>0.749</v>
      </c>
      <c r="AB17" s="35">
        <v>0.754</v>
      </c>
      <c r="AC17" s="35">
        <v>0.755</v>
      </c>
    </row>
    <row r="18" spans="1:29">
      <c r="A18" s="3">
        <v>9</v>
      </c>
      <c r="B18" s="24">
        <f t="shared" si="1"/>
        <v>0.5</v>
      </c>
      <c r="C18" s="9">
        <f t="shared" si="2"/>
        <v>4</v>
      </c>
      <c r="D18" s="18">
        <f t="shared" si="3"/>
        <v>4</v>
      </c>
      <c r="E18" s="18">
        <f t="shared" si="0"/>
        <v>1.1000000000000001</v>
      </c>
      <c r="F18" s="18"/>
      <c r="H18" s="1">
        <f t="shared" si="4"/>
        <v>4</v>
      </c>
      <c r="I18" s="1">
        <f t="shared" si="5"/>
        <v>4.4000000000000004</v>
      </c>
      <c r="J18" s="1">
        <f t="shared" si="6"/>
        <v>1</v>
      </c>
      <c r="K18" s="1">
        <f t="shared" si="7"/>
        <v>1.4</v>
      </c>
      <c r="T18" s="35">
        <v>1.2</v>
      </c>
      <c r="U18" s="35">
        <v>1.6</v>
      </c>
      <c r="V18" s="35">
        <v>0.39</v>
      </c>
      <c r="W18" s="35">
        <v>0.44900000000000001</v>
      </c>
      <c r="X18" s="35">
        <v>0.53200000000000003</v>
      </c>
      <c r="Y18" s="35">
        <v>0.57799999999999996</v>
      </c>
      <c r="Z18" s="35">
        <v>0.61199999999999999</v>
      </c>
      <c r="AA18" s="35">
        <v>0.63</v>
      </c>
      <c r="AB18" s="35">
        <v>0.63900000000000001</v>
      </c>
      <c r="AC18" s="35">
        <v>0.64200000000000002</v>
      </c>
    </row>
    <row r="19" spans="1:29">
      <c r="A19" s="3">
        <v>10</v>
      </c>
      <c r="B19" s="24">
        <f t="shared" si="1"/>
        <v>0.5</v>
      </c>
      <c r="C19" s="9">
        <f t="shared" si="2"/>
        <v>4.5</v>
      </c>
      <c r="D19" s="18">
        <f t="shared" si="3"/>
        <v>4.5</v>
      </c>
      <c r="E19" s="18">
        <f t="shared" si="0"/>
        <v>1.1000000000000001</v>
      </c>
      <c r="F19" s="18"/>
      <c r="H19" s="1">
        <f t="shared" si="4"/>
        <v>4.4000000000000004</v>
      </c>
      <c r="I19" s="1">
        <f t="shared" si="5"/>
        <v>4.8</v>
      </c>
      <c r="J19" s="1">
        <f t="shared" si="6"/>
        <v>1</v>
      </c>
      <c r="K19" s="1">
        <f t="shared" si="7"/>
        <v>1.4</v>
      </c>
      <c r="T19" s="35">
        <v>1.6</v>
      </c>
      <c r="U19" s="35">
        <v>2</v>
      </c>
      <c r="V19" s="35">
        <v>0.28499999999999998</v>
      </c>
      <c r="W19" s="35">
        <v>0.33600000000000002</v>
      </c>
      <c r="X19" s="35">
        <v>0.41399999999999998</v>
      </c>
      <c r="Y19" s="35">
        <v>0.46300000000000002</v>
      </c>
      <c r="Z19" s="35">
        <v>0.505</v>
      </c>
      <c r="AA19" s="35">
        <v>0.52900000000000003</v>
      </c>
      <c r="AB19" s="35">
        <v>0.54500000000000004</v>
      </c>
      <c r="AC19" s="35">
        <v>0.55000000000000004</v>
      </c>
    </row>
    <row r="20" spans="1:29">
      <c r="A20" s="3">
        <v>11</v>
      </c>
      <c r="B20" s="24">
        <f t="shared" si="1"/>
        <v>0.5</v>
      </c>
      <c r="C20" s="9">
        <f t="shared" si="2"/>
        <v>5</v>
      </c>
      <c r="D20" s="18">
        <f t="shared" si="3"/>
        <v>5</v>
      </c>
      <c r="E20" s="18">
        <f t="shared" si="0"/>
        <v>1.1000000000000001</v>
      </c>
      <c r="F20" s="18"/>
      <c r="H20" s="1">
        <f t="shared" si="4"/>
        <v>4.8</v>
      </c>
      <c r="I20" s="1">
        <f t="shared" si="5"/>
        <v>5.2</v>
      </c>
      <c r="J20" s="1">
        <f t="shared" si="6"/>
        <v>1</v>
      </c>
      <c r="K20" s="1">
        <f t="shared" si="7"/>
        <v>1.4</v>
      </c>
      <c r="T20" s="35">
        <v>2</v>
      </c>
      <c r="U20" s="35">
        <v>2.4</v>
      </c>
      <c r="V20" s="35">
        <v>0.214</v>
      </c>
      <c r="W20" s="35">
        <v>0.25700000000000001</v>
      </c>
      <c r="X20" s="35">
        <v>0.32500000000000001</v>
      </c>
      <c r="Y20" s="35">
        <v>0.374</v>
      </c>
      <c r="Z20" s="35">
        <v>0.41899999999999998</v>
      </c>
      <c r="AA20" s="35">
        <v>0.44900000000000001</v>
      </c>
      <c r="AB20" s="35">
        <v>0.47</v>
      </c>
      <c r="AC20" s="35">
        <v>0.47699999999999998</v>
      </c>
    </row>
    <row r="21" spans="1:29">
      <c r="A21" s="3">
        <v>12</v>
      </c>
      <c r="B21" s="24">
        <f t="shared" si="1"/>
        <v>0.5</v>
      </c>
      <c r="C21" s="9">
        <f t="shared" si="2"/>
        <v>5.5</v>
      </c>
      <c r="D21" s="18">
        <f t="shared" si="3"/>
        <v>5.5</v>
      </c>
      <c r="E21" s="18">
        <f t="shared" si="0"/>
        <v>1.1000000000000001</v>
      </c>
      <c r="F21" s="18"/>
      <c r="H21" s="1">
        <f t="shared" si="4"/>
        <v>5.2</v>
      </c>
      <c r="I21" s="1">
        <f t="shared" si="5"/>
        <v>5.6</v>
      </c>
      <c r="J21" s="1">
        <f t="shared" si="6"/>
        <v>1</v>
      </c>
      <c r="K21" s="1">
        <f t="shared" si="7"/>
        <v>1.4</v>
      </c>
      <c r="T21" s="35">
        <v>2.4</v>
      </c>
      <c r="U21" s="35">
        <v>2.8</v>
      </c>
      <c r="V21" s="35">
        <v>0.16500000000000001</v>
      </c>
      <c r="W21" s="35">
        <v>0.20100000000000001</v>
      </c>
      <c r="X21" s="35">
        <v>0.26</v>
      </c>
      <c r="Y21" s="35">
        <v>0.30399999999999999</v>
      </c>
      <c r="Z21" s="35">
        <v>0.35</v>
      </c>
      <c r="AA21" s="35">
        <v>0.38300000000000001</v>
      </c>
      <c r="AB21" s="35">
        <v>0.41</v>
      </c>
      <c r="AC21" s="35">
        <v>0.42</v>
      </c>
    </row>
    <row r="22" spans="1:29">
      <c r="A22" s="3">
        <v>13</v>
      </c>
      <c r="B22" s="24">
        <f t="shared" si="1"/>
        <v>0.5</v>
      </c>
      <c r="C22" s="9">
        <f t="shared" si="2"/>
        <v>6</v>
      </c>
      <c r="D22" s="18">
        <f t="shared" si="3"/>
        <v>6</v>
      </c>
      <c r="E22" s="18">
        <f t="shared" si="0"/>
        <v>1.1000000000000001</v>
      </c>
      <c r="F22" s="18"/>
      <c r="H22" s="1">
        <f t="shared" si="4"/>
        <v>6</v>
      </c>
      <c r="I22" s="1">
        <f t="shared" si="5"/>
        <v>6.4</v>
      </c>
      <c r="J22" s="1">
        <f t="shared" si="6"/>
        <v>1</v>
      </c>
      <c r="K22" s="1">
        <f t="shared" si="7"/>
        <v>1.4</v>
      </c>
      <c r="T22" s="35">
        <v>2.8</v>
      </c>
      <c r="U22" s="35">
        <v>3.2</v>
      </c>
      <c r="V22" s="35">
        <v>0.13</v>
      </c>
      <c r="W22" s="35">
        <v>0.16</v>
      </c>
      <c r="X22" s="35">
        <v>0.21</v>
      </c>
      <c r="Y22" s="35">
        <v>0.251</v>
      </c>
      <c r="Z22" s="35">
        <v>0.29399999999999998</v>
      </c>
      <c r="AA22" s="35">
        <v>0.32900000000000001</v>
      </c>
      <c r="AB22" s="35">
        <v>0.36</v>
      </c>
      <c r="AC22" s="35">
        <v>0.374</v>
      </c>
    </row>
    <row r="23" spans="1:29">
      <c r="A23" s="3">
        <v>14</v>
      </c>
      <c r="B23" s="24">
        <f t="shared" si="1"/>
        <v>0.5</v>
      </c>
      <c r="C23" s="9">
        <f t="shared" si="2"/>
        <v>6.5</v>
      </c>
      <c r="D23" s="18">
        <f t="shared" si="3"/>
        <v>6.5</v>
      </c>
      <c r="E23" s="18">
        <f t="shared" si="0"/>
        <v>1.1000000000000001</v>
      </c>
      <c r="F23" s="18"/>
      <c r="H23" s="1">
        <f t="shared" si="4"/>
        <v>6.4</v>
      </c>
      <c r="I23" s="1">
        <f t="shared" si="5"/>
        <v>6.8</v>
      </c>
      <c r="J23" s="1">
        <f t="shared" si="6"/>
        <v>1</v>
      </c>
      <c r="K23" s="1">
        <f t="shared" si="7"/>
        <v>1.4</v>
      </c>
      <c r="T23" s="35">
        <v>3.2</v>
      </c>
      <c r="U23" s="35">
        <v>3.6</v>
      </c>
      <c r="V23" s="35">
        <v>0.106</v>
      </c>
      <c r="W23" s="35">
        <v>0.13</v>
      </c>
      <c r="X23" s="35">
        <v>0.17299999999999999</v>
      </c>
      <c r="Y23" s="35">
        <v>0.20899999999999999</v>
      </c>
      <c r="Z23" s="35">
        <v>0.25</v>
      </c>
      <c r="AA23" s="35">
        <v>0.28299999999999997</v>
      </c>
      <c r="AB23" s="35">
        <v>0.32</v>
      </c>
      <c r="AC23" s="35">
        <v>0.33700000000000002</v>
      </c>
    </row>
    <row r="24" spans="1:29">
      <c r="A24" s="3">
        <v>15</v>
      </c>
      <c r="B24" s="24">
        <f t="shared" si="1"/>
        <v>0.5</v>
      </c>
      <c r="C24" s="9">
        <f t="shared" si="2"/>
        <v>7</v>
      </c>
      <c r="D24" s="18">
        <f t="shared" si="3"/>
        <v>7</v>
      </c>
      <c r="E24" s="18">
        <f t="shared" si="0"/>
        <v>1.1000000000000001</v>
      </c>
      <c r="F24" s="18"/>
      <c r="H24" s="1">
        <f t="shared" si="4"/>
        <v>6.8</v>
      </c>
      <c r="I24" s="1">
        <f t="shared" si="5"/>
        <v>7.2</v>
      </c>
      <c r="J24" s="1">
        <f t="shared" si="6"/>
        <v>1</v>
      </c>
      <c r="K24" s="1">
        <f t="shared" si="7"/>
        <v>1.4</v>
      </c>
      <c r="T24" s="35">
        <v>3.6</v>
      </c>
      <c r="U24" s="35">
        <v>4</v>
      </c>
      <c r="V24" s="35">
        <v>8.6999999999999994E-2</v>
      </c>
      <c r="W24" s="35">
        <v>0.108</v>
      </c>
      <c r="X24" s="35">
        <v>0.14499999999999999</v>
      </c>
      <c r="Y24" s="35">
        <v>0.17599999999999999</v>
      </c>
      <c r="Z24" s="35">
        <v>0.214</v>
      </c>
      <c r="AA24" s="35">
        <v>0.248</v>
      </c>
      <c r="AB24" s="35">
        <v>0.28499999999999998</v>
      </c>
      <c r="AC24" s="35">
        <v>0.30599999999999999</v>
      </c>
    </row>
    <row r="25" spans="1:29">
      <c r="A25" s="3">
        <v>16</v>
      </c>
      <c r="B25" s="24">
        <f t="shared" si="1"/>
        <v>0.5</v>
      </c>
      <c r="C25" s="9">
        <f t="shared" si="2"/>
        <v>7.5</v>
      </c>
      <c r="D25" s="18">
        <f t="shared" si="3"/>
        <v>7.5</v>
      </c>
      <c r="E25" s="18">
        <f t="shared" si="0"/>
        <v>1.1000000000000001</v>
      </c>
      <c r="F25" s="18"/>
      <c r="H25" s="1">
        <f t="shared" si="4"/>
        <v>7.2</v>
      </c>
      <c r="I25" s="1">
        <f t="shared" si="5"/>
        <v>7.6</v>
      </c>
      <c r="J25" s="1">
        <f t="shared" si="6"/>
        <v>1</v>
      </c>
      <c r="K25" s="1">
        <f t="shared" si="7"/>
        <v>1.4</v>
      </c>
      <c r="T25" s="35">
        <v>4</v>
      </c>
      <c r="U25" s="35">
        <v>4.4000000000000004</v>
      </c>
      <c r="V25" s="35">
        <v>7.2999999999999995E-2</v>
      </c>
      <c r="W25" s="35">
        <v>9.0999999999999998E-2</v>
      </c>
      <c r="X25" s="35">
        <v>0.122</v>
      </c>
      <c r="Y25" s="35">
        <v>0.15</v>
      </c>
      <c r="Z25" s="35">
        <v>0.185</v>
      </c>
      <c r="AA25" s="35">
        <v>0.218</v>
      </c>
      <c r="AB25" s="35">
        <v>0.25600000000000001</v>
      </c>
      <c r="AC25" s="35">
        <v>0.28000000000000003</v>
      </c>
    </row>
    <row r="26" spans="1:29">
      <c r="A26" s="3">
        <v>17</v>
      </c>
      <c r="B26" s="24">
        <f t="shared" si="1"/>
        <v>0.5</v>
      </c>
      <c r="C26" s="9">
        <f t="shared" si="2"/>
        <v>8</v>
      </c>
      <c r="D26" s="18">
        <f t="shared" si="3"/>
        <v>8</v>
      </c>
      <c r="E26" s="18">
        <f t="shared" si="0"/>
        <v>1.1000000000000001</v>
      </c>
      <c r="F26" s="18"/>
      <c r="H26" s="1">
        <f t="shared" si="4"/>
        <v>8</v>
      </c>
      <c r="I26" s="1">
        <f t="shared" si="5"/>
        <v>8.4</v>
      </c>
      <c r="J26" s="1">
        <f t="shared" si="6"/>
        <v>1</v>
      </c>
      <c r="K26" s="1">
        <f t="shared" si="7"/>
        <v>1.4</v>
      </c>
      <c r="T26" s="35">
        <v>4.4000000000000004</v>
      </c>
      <c r="U26" s="35">
        <v>4.8</v>
      </c>
      <c r="V26" s="35">
        <v>6.7000000000000004E-2</v>
      </c>
      <c r="W26" s="35">
        <v>7.6999999999999999E-2</v>
      </c>
      <c r="X26" s="35">
        <v>0.105</v>
      </c>
      <c r="Y26" s="35">
        <v>0.13</v>
      </c>
      <c r="Z26" s="35">
        <v>0.161</v>
      </c>
      <c r="AA26" s="35">
        <v>0.192</v>
      </c>
      <c r="AB26" s="35">
        <v>0.23</v>
      </c>
      <c r="AC26" s="35">
        <v>0.25800000000000001</v>
      </c>
    </row>
    <row r="27" spans="1:29">
      <c r="A27" s="3">
        <v>18</v>
      </c>
      <c r="B27" s="24">
        <f t="shared" si="1"/>
        <v>0.5</v>
      </c>
      <c r="C27" s="9">
        <f t="shared" si="2"/>
        <v>8.5</v>
      </c>
      <c r="D27" s="18">
        <f t="shared" si="3"/>
        <v>8.5</v>
      </c>
      <c r="E27" s="18">
        <f t="shared" si="0"/>
        <v>1.1000000000000001</v>
      </c>
      <c r="F27" s="18"/>
      <c r="H27" s="1">
        <f t="shared" si="4"/>
        <v>8.4</v>
      </c>
      <c r="I27" s="1">
        <f t="shared" si="5"/>
        <v>8.8000000000000007</v>
      </c>
      <c r="J27" s="1">
        <f t="shared" si="6"/>
        <v>1</v>
      </c>
      <c r="K27" s="1">
        <f t="shared" si="7"/>
        <v>1.4</v>
      </c>
      <c r="T27" s="35">
        <v>4.8</v>
      </c>
      <c r="U27" s="35">
        <v>5.2</v>
      </c>
      <c r="V27" s="35">
        <v>5.2999999999999999E-2</v>
      </c>
      <c r="W27" s="35">
        <v>6.6000000000000003E-2</v>
      </c>
      <c r="X27" s="35">
        <v>9.0999999999999998E-2</v>
      </c>
      <c r="Y27" s="35">
        <v>0.112</v>
      </c>
      <c r="Z27" s="35">
        <v>0.14099999999999999</v>
      </c>
      <c r="AA27" s="35">
        <v>0.17</v>
      </c>
      <c r="AB27" s="35">
        <v>0.20799999999999999</v>
      </c>
      <c r="AC27" s="35">
        <v>0.23899999999999999</v>
      </c>
    </row>
    <row r="28" spans="1:29">
      <c r="A28" s="3">
        <v>19</v>
      </c>
      <c r="B28" s="24">
        <f t="shared" si="1"/>
        <v>0.5</v>
      </c>
      <c r="C28" s="9">
        <f t="shared" si="2"/>
        <v>9</v>
      </c>
      <c r="D28" s="18">
        <f t="shared" si="3"/>
        <v>9</v>
      </c>
      <c r="E28" s="18">
        <f t="shared" si="0"/>
        <v>1.1000000000000001</v>
      </c>
      <c r="F28" s="18"/>
      <c r="H28" s="1">
        <f t="shared" si="4"/>
        <v>8.8000000000000007</v>
      </c>
      <c r="I28" s="1">
        <f t="shared" si="5"/>
        <v>9.1999999999999993</v>
      </c>
      <c r="J28" s="1">
        <f t="shared" si="6"/>
        <v>1</v>
      </c>
      <c r="K28" s="1">
        <f t="shared" si="7"/>
        <v>1.4</v>
      </c>
      <c r="T28" s="35">
        <v>5.2</v>
      </c>
      <c r="U28" s="35">
        <v>5.6</v>
      </c>
      <c r="V28" s="35">
        <v>4.5999999999999999E-2</v>
      </c>
      <c r="W28" s="35">
        <v>5.8000000000000003E-2</v>
      </c>
      <c r="X28" s="35">
        <v>7.9000000000000001E-2</v>
      </c>
      <c r="Y28" s="35">
        <v>9.9000000000000005E-2</v>
      </c>
      <c r="Z28" s="35">
        <v>0.124</v>
      </c>
      <c r="AA28" s="35">
        <v>0.152</v>
      </c>
      <c r="AB28" s="35">
        <v>0.189</v>
      </c>
      <c r="AC28" s="35">
        <v>0.223</v>
      </c>
    </row>
    <row r="29" spans="1:29">
      <c r="A29" s="3">
        <v>20</v>
      </c>
      <c r="B29" s="24">
        <f t="shared" si="1"/>
        <v>0.5</v>
      </c>
      <c r="C29" s="9">
        <f t="shared" si="2"/>
        <v>9.5</v>
      </c>
      <c r="D29" s="18">
        <f t="shared" si="3"/>
        <v>9.5</v>
      </c>
      <c r="E29" s="18">
        <f t="shared" si="0"/>
        <v>1.1000000000000001</v>
      </c>
      <c r="F29" s="18"/>
      <c r="H29" s="1">
        <f t="shared" si="4"/>
        <v>9.1999999999999993</v>
      </c>
      <c r="I29" s="1">
        <f t="shared" si="5"/>
        <v>9.6</v>
      </c>
      <c r="J29" s="1">
        <f t="shared" si="6"/>
        <v>1</v>
      </c>
      <c r="K29" s="1">
        <f t="shared" si="7"/>
        <v>1.4</v>
      </c>
      <c r="T29" s="35">
        <v>5.6</v>
      </c>
      <c r="U29" s="35">
        <v>6</v>
      </c>
      <c r="V29" s="35">
        <v>0.04</v>
      </c>
      <c r="W29" s="35">
        <v>5.0999999999999997E-2</v>
      </c>
      <c r="X29" s="35">
        <v>7.0000000000000007E-2</v>
      </c>
      <c r="Y29" s="35">
        <v>8.6999999999999994E-2</v>
      </c>
      <c r="Z29" s="35">
        <v>0.11</v>
      </c>
      <c r="AA29" s="35">
        <v>0.13600000000000001</v>
      </c>
      <c r="AB29" s="35">
        <v>0.17199999999999999</v>
      </c>
      <c r="AC29" s="35">
        <v>0.20799999999999999</v>
      </c>
    </row>
    <row r="30" spans="1:29">
      <c r="A30" s="3">
        <v>21</v>
      </c>
      <c r="B30" s="24">
        <f t="shared" si="1"/>
        <v>0.5</v>
      </c>
      <c r="C30" s="9">
        <f t="shared" si="2"/>
        <v>10</v>
      </c>
      <c r="D30" s="18">
        <f t="shared" si="3"/>
        <v>10</v>
      </c>
      <c r="E30" s="18">
        <f t="shared" si="0"/>
        <v>1.1000000000000001</v>
      </c>
      <c r="F30" s="18"/>
      <c r="H30" s="1">
        <f t="shared" si="4"/>
        <v>10</v>
      </c>
      <c r="I30" s="1">
        <f t="shared" si="5"/>
        <v>11</v>
      </c>
      <c r="J30" s="1">
        <f t="shared" si="6"/>
        <v>1</v>
      </c>
      <c r="K30" s="1">
        <f t="shared" si="7"/>
        <v>1.4</v>
      </c>
      <c r="T30" s="35">
        <v>6</v>
      </c>
      <c r="U30" s="35">
        <v>6.4</v>
      </c>
      <c r="V30" s="35">
        <v>3.5999999999999997E-2</v>
      </c>
      <c r="W30" s="35">
        <v>4.4999999999999998E-2</v>
      </c>
      <c r="X30" s="35">
        <v>6.2E-2</v>
      </c>
      <c r="Y30" s="35">
        <v>7.6999999999999999E-2</v>
      </c>
      <c r="Z30" s="35">
        <v>9.8000000000000004E-2</v>
      </c>
      <c r="AA30" s="35">
        <v>0.122</v>
      </c>
      <c r="AB30" s="35">
        <v>0.158</v>
      </c>
      <c r="AC30" s="35">
        <v>0.106</v>
      </c>
    </row>
    <row r="31" spans="1:29">
      <c r="A31" s="3">
        <v>22</v>
      </c>
      <c r="B31" s="24">
        <f t="shared" si="1"/>
        <v>0.5</v>
      </c>
      <c r="C31" s="9">
        <f t="shared" si="2"/>
        <v>10.5</v>
      </c>
      <c r="D31" s="18">
        <f t="shared" si="3"/>
        <v>10.5</v>
      </c>
      <c r="E31" s="18">
        <f t="shared" si="0"/>
        <v>1.1000000000000001</v>
      </c>
      <c r="F31" s="18"/>
      <c r="H31" s="1">
        <f t="shared" si="4"/>
        <v>10</v>
      </c>
      <c r="I31" s="1">
        <f t="shared" si="5"/>
        <v>11</v>
      </c>
      <c r="J31" s="1">
        <f t="shared" si="6"/>
        <v>1</v>
      </c>
      <c r="K31" s="1">
        <f t="shared" si="7"/>
        <v>1.4</v>
      </c>
      <c r="T31" s="35">
        <v>6.4</v>
      </c>
      <c r="U31" s="35">
        <v>6.8</v>
      </c>
      <c r="V31" s="35">
        <v>3.2000000000000001E-2</v>
      </c>
      <c r="W31" s="35">
        <v>0.04</v>
      </c>
      <c r="X31" s="35">
        <v>5.5E-2</v>
      </c>
      <c r="Y31" s="35">
        <v>6.9000000000000006E-2</v>
      </c>
      <c r="Z31" s="35">
        <v>8.7999999999999995E-2</v>
      </c>
      <c r="AA31" s="35">
        <v>0.11</v>
      </c>
      <c r="AB31" s="35">
        <v>0.14399999999999999</v>
      </c>
      <c r="AC31" s="35">
        <v>0.184</v>
      </c>
    </row>
    <row r="32" spans="1:29">
      <c r="A32" s="3">
        <v>23</v>
      </c>
      <c r="B32" s="24">
        <f t="shared" si="1"/>
        <v>0.5</v>
      </c>
      <c r="C32" s="9">
        <f t="shared" si="2"/>
        <v>11</v>
      </c>
      <c r="D32" s="18">
        <f t="shared" si="3"/>
        <v>11</v>
      </c>
      <c r="E32" s="18">
        <f t="shared" si="0"/>
        <v>1.1000000000000001</v>
      </c>
      <c r="F32" s="18"/>
      <c r="H32" s="1">
        <f t="shared" si="4"/>
        <v>11</v>
      </c>
      <c r="I32" s="1">
        <f t="shared" si="5"/>
        <v>12</v>
      </c>
      <c r="J32" s="1">
        <f t="shared" si="6"/>
        <v>1</v>
      </c>
      <c r="K32" s="1">
        <f t="shared" si="7"/>
        <v>1.4</v>
      </c>
      <c r="T32" s="35">
        <v>6.8</v>
      </c>
      <c r="U32" s="35">
        <v>7.2</v>
      </c>
      <c r="V32" s="35">
        <v>2.8000000000000001E-2</v>
      </c>
      <c r="W32" s="35">
        <v>3.5999999999999997E-2</v>
      </c>
      <c r="X32" s="35">
        <v>4.9000000000000002E-2</v>
      </c>
      <c r="Y32" s="35">
        <v>6.2E-2</v>
      </c>
      <c r="Z32" s="35">
        <v>0.08</v>
      </c>
      <c r="AA32" s="35">
        <v>0.1</v>
      </c>
      <c r="AB32" s="35">
        <v>0.13300000000000001</v>
      </c>
      <c r="AC32" s="35">
        <v>0.17499999999999999</v>
      </c>
    </row>
    <row r="33" spans="20:29">
      <c r="T33" s="35">
        <v>7.2</v>
      </c>
      <c r="U33" s="35">
        <v>7.6</v>
      </c>
      <c r="V33" s="35">
        <v>2.4E-2</v>
      </c>
      <c r="W33" s="35">
        <v>3.2000000000000001E-2</v>
      </c>
      <c r="X33" s="35">
        <v>4.3999999999999997E-2</v>
      </c>
      <c r="Y33" s="35">
        <v>5.6000000000000001E-2</v>
      </c>
      <c r="Z33" s="35">
        <v>7.1999999999999995E-2</v>
      </c>
      <c r="AA33" s="35">
        <v>9.0999999999999998E-2</v>
      </c>
      <c r="AB33" s="35">
        <v>0.123</v>
      </c>
      <c r="AC33" s="35">
        <v>0.16600000000000001</v>
      </c>
    </row>
    <row r="34" spans="20:29">
      <c r="T34" s="35">
        <v>7.6</v>
      </c>
      <c r="U34" s="35">
        <v>8</v>
      </c>
      <c r="V34" s="35">
        <v>2.1999999999999999E-2</v>
      </c>
      <c r="W34" s="35">
        <v>2.9000000000000001E-2</v>
      </c>
      <c r="X34" s="35">
        <v>0.04</v>
      </c>
      <c r="Y34" s="35">
        <v>5.0999999999999997E-2</v>
      </c>
      <c r="Z34" s="35">
        <v>6.6000000000000003E-2</v>
      </c>
      <c r="AA34" s="35">
        <v>8.4000000000000005E-2</v>
      </c>
      <c r="AB34" s="35">
        <v>0.113</v>
      </c>
      <c r="AC34" s="35">
        <v>0.158</v>
      </c>
    </row>
    <row r="35" spans="20:29">
      <c r="T35" s="35">
        <v>8</v>
      </c>
      <c r="U35" s="35">
        <v>8.4</v>
      </c>
      <c r="V35" s="35">
        <v>2.1000000000000001E-2</v>
      </c>
      <c r="W35" s="35">
        <v>2.5999999999999999E-2</v>
      </c>
      <c r="X35" s="35">
        <v>3.6999999999999998E-2</v>
      </c>
      <c r="Y35" s="35">
        <v>4.5999999999999999E-2</v>
      </c>
      <c r="Z35" s="35">
        <v>0.06</v>
      </c>
      <c r="AA35" s="35">
        <v>7.6999999999999999E-2</v>
      </c>
      <c r="AB35" s="35">
        <v>0.105</v>
      </c>
      <c r="AC35" s="35">
        <v>0.15</v>
      </c>
    </row>
    <row r="36" spans="20:29">
      <c r="T36" s="35">
        <v>8.4</v>
      </c>
      <c r="U36" s="35">
        <v>8.8000000000000007</v>
      </c>
      <c r="V36" s="35">
        <v>1.9E-2</v>
      </c>
      <c r="W36" s="35">
        <v>2.4E-2</v>
      </c>
      <c r="X36" s="35">
        <v>3.4000000000000002E-2</v>
      </c>
      <c r="Y36" s="35">
        <v>4.2000000000000003E-2</v>
      </c>
      <c r="Z36" s="35">
        <v>5.5E-2</v>
      </c>
      <c r="AA36" s="35">
        <v>7.0000000000000007E-2</v>
      </c>
      <c r="AB36" s="35">
        <v>9.8000000000000004E-2</v>
      </c>
      <c r="AC36" s="35">
        <v>0.14399999999999999</v>
      </c>
    </row>
    <row r="37" spans="20:29">
      <c r="T37" s="35">
        <v>8.8000000000000007</v>
      </c>
      <c r="U37" s="35">
        <v>9.1999999999999993</v>
      </c>
      <c r="V37" s="35">
        <v>1.7999999999999999E-2</v>
      </c>
      <c r="W37" s="35">
        <v>2.1999999999999999E-2</v>
      </c>
      <c r="X37" s="35">
        <v>3.1E-2</v>
      </c>
      <c r="Y37" s="35">
        <v>3.9E-2</v>
      </c>
      <c r="Z37" s="35">
        <v>5.0999999999999997E-2</v>
      </c>
      <c r="AA37" s="35">
        <v>6.5000000000000002E-2</v>
      </c>
      <c r="AB37" s="35">
        <v>9.0999999999999998E-2</v>
      </c>
      <c r="AC37" s="35">
        <v>0.13700000000000001</v>
      </c>
    </row>
    <row r="38" spans="20:29">
      <c r="T38" s="35">
        <v>9.1999999999999993</v>
      </c>
      <c r="U38" s="35">
        <v>9.6</v>
      </c>
      <c r="V38" s="35">
        <v>1.6E-2</v>
      </c>
      <c r="W38" s="35">
        <v>0.02</v>
      </c>
      <c r="X38" s="35">
        <v>2.8000000000000001E-2</v>
      </c>
      <c r="Y38" s="35">
        <v>3.5999999999999997E-2</v>
      </c>
      <c r="Z38" s="35">
        <v>4.7E-2</v>
      </c>
      <c r="AA38" s="35">
        <v>0.06</v>
      </c>
      <c r="AB38" s="35">
        <v>8.5000000000000006E-2</v>
      </c>
      <c r="AC38" s="35">
        <v>0.13200000000000001</v>
      </c>
    </row>
    <row r="39" spans="20:29">
      <c r="T39" s="35">
        <v>9.6</v>
      </c>
      <c r="U39" s="35">
        <v>10</v>
      </c>
      <c r="V39" s="35">
        <v>1.4999999999999999E-2</v>
      </c>
      <c r="W39" s="35">
        <v>1.9E-2</v>
      </c>
      <c r="X39" s="35">
        <v>2.5999999999999999E-2</v>
      </c>
      <c r="Y39" s="35">
        <v>3.3000000000000002E-2</v>
      </c>
      <c r="Z39" s="35">
        <v>4.3999999999999997E-2</v>
      </c>
      <c r="AA39" s="35">
        <v>5.6000000000000001E-2</v>
      </c>
      <c r="AB39" s="35">
        <v>7.9000000000000001E-2</v>
      </c>
      <c r="AC39" s="35">
        <v>0.126</v>
      </c>
    </row>
    <row r="40" spans="20:29">
      <c r="T40" s="35">
        <v>10</v>
      </c>
      <c r="U40" s="35">
        <v>11</v>
      </c>
      <c r="V40" s="35">
        <v>1.0999999999999999E-2</v>
      </c>
      <c r="W40" s="35">
        <v>1.7000000000000001E-2</v>
      </c>
      <c r="X40" s="35">
        <v>2.3E-2</v>
      </c>
      <c r="Y40" s="35">
        <v>2.9000000000000001E-2</v>
      </c>
      <c r="Z40" s="35">
        <v>0.04</v>
      </c>
      <c r="AA40" s="35">
        <v>0.05</v>
      </c>
      <c r="AB40" s="35">
        <v>7.0999999999999994E-2</v>
      </c>
      <c r="AC40" s="35">
        <v>0.114</v>
      </c>
    </row>
    <row r="41" spans="20:29">
      <c r="T41" s="35">
        <v>11</v>
      </c>
      <c r="U41" s="35">
        <v>12</v>
      </c>
      <c r="V41" s="35">
        <v>8.9999999999999993E-3</v>
      </c>
      <c r="W41" s="35">
        <v>1.4999999999999999E-2</v>
      </c>
      <c r="X41" s="35">
        <v>0.02</v>
      </c>
      <c r="Y41" s="35">
        <v>2.5999999999999999E-2</v>
      </c>
      <c r="Z41" s="35">
        <v>3.1E-2</v>
      </c>
      <c r="AA41" s="35">
        <v>4.3999999999999997E-2</v>
      </c>
      <c r="AB41" s="35">
        <v>0.06</v>
      </c>
      <c r="AC41" s="35">
        <v>0.104</v>
      </c>
    </row>
    <row r="42" spans="20:29">
      <c r="T42" s="35">
        <v>12</v>
      </c>
      <c r="U42" s="37" t="s">
        <v>67</v>
      </c>
      <c r="V42" s="38"/>
      <c r="W42" s="38"/>
      <c r="X42" s="38"/>
      <c r="Y42" s="38"/>
      <c r="Z42" s="38"/>
      <c r="AA42" s="38"/>
      <c r="AB42" s="38"/>
      <c r="AC42" s="39"/>
    </row>
    <row r="49" spans="22:28">
      <c r="V49" s="3"/>
      <c r="W49" s="35">
        <v>1</v>
      </c>
      <c r="X49" s="35">
        <v>1.4</v>
      </c>
      <c r="Y49" s="35">
        <v>1.8</v>
      </c>
      <c r="Z49" s="35">
        <v>2.4</v>
      </c>
      <c r="AA49" s="35">
        <v>3.2</v>
      </c>
      <c r="AB49" s="35">
        <v>5</v>
      </c>
    </row>
    <row r="50" spans="22:28">
      <c r="V50" s="35">
        <v>1</v>
      </c>
      <c r="W50" s="35">
        <v>1.4</v>
      </c>
      <c r="X50" s="35">
        <v>1.8</v>
      </c>
      <c r="Y50" s="35">
        <v>2.4</v>
      </c>
      <c r="Z50" s="35">
        <v>3.2</v>
      </c>
      <c r="AA50" s="35">
        <v>5</v>
      </c>
      <c r="AB50" s="3"/>
    </row>
    <row r="51" spans="22:28">
      <c r="V51" s="3" t="s">
        <v>70</v>
      </c>
      <c r="W51" s="3">
        <v>3</v>
      </c>
      <c r="X51" s="3">
        <v>4</v>
      </c>
      <c r="Y51" s="3">
        <v>5</v>
      </c>
      <c r="Z51" s="3">
        <v>6</v>
      </c>
      <c r="AA51" s="3">
        <v>7</v>
      </c>
      <c r="AB51" s="3"/>
    </row>
  </sheetData>
  <mergeCells count="3">
    <mergeCell ref="V10:AB10"/>
    <mergeCell ref="V11:AB11"/>
    <mergeCell ref="U42:AC42"/>
  </mergeCells>
  <dataValidations disablePrompts="1" count="1">
    <dataValidation type="decimal" operator="lessThanOrEqual" allowBlank="1" showInputMessage="1" showErrorMessage="1" errorTitle="LỖI" error="BẠN ĐÃ NHẬP SAI" promptTitle="THÔNG BÁO" prompt="BẠN CHỈ ĐƯỢC NHẬP GIÁ TRỊ TỪ 0 ĐẾN b/4" sqref="B6" xr:uid="{00000000-0002-0000-0100-000000000000}">
      <formula1>C4/4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:H8"/>
  <sheetViews>
    <sheetView topLeftCell="B1" zoomScale="175" zoomScaleNormal="175" workbookViewId="0">
      <selection activeCell="F4" sqref="F4"/>
    </sheetView>
  </sheetViews>
  <sheetFormatPr defaultRowHeight="15"/>
  <cols>
    <col min="7" max="8" width="13.28515625" bestFit="1" customWidth="1"/>
  </cols>
  <sheetData>
    <row r="1" spans="3:8">
      <c r="C1" t="s">
        <v>71</v>
      </c>
    </row>
    <row r="2" spans="3:8"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</row>
    <row r="3" spans="3:8">
      <c r="C3">
        <v>30</v>
      </c>
      <c r="D3">
        <v>129</v>
      </c>
      <c r="E3">
        <v>-7</v>
      </c>
      <c r="F3">
        <v>5.3595540624218632E-2</v>
      </c>
      <c r="H3">
        <f>(C3*F3^2+D3*F3+E3)</f>
        <v>-8.0023172799315034E-7</v>
      </c>
    </row>
    <row r="4" spans="3:8">
      <c r="C4">
        <v>54</v>
      </c>
      <c r="D4">
        <v>3</v>
      </c>
      <c r="E4">
        <v>-13</v>
      </c>
      <c r="F4">
        <v>4.3333333333333339</v>
      </c>
      <c r="H4">
        <f>(C4*F46+D4*F4+E4)</f>
        <v>1.7763568394002505E-15</v>
      </c>
    </row>
    <row r="6" spans="3:8">
      <c r="G6">
        <f>(C3*F3^2+D3*F3+E3)</f>
        <v>-8.0023172799315034E-7</v>
      </c>
    </row>
    <row r="7" spans="3:8">
      <c r="G7">
        <f>(C3*F3^2+D3*F3+E3)</f>
        <v>-8.0023172799315034E-7</v>
      </c>
    </row>
    <row r="8" spans="3:8">
      <c r="F8">
        <f ca="1">G8</f>
        <v>1657.7777777777778</v>
      </c>
      <c r="G8">
        <f ca="1">(F8*0.1+900+F4*20-40)</f>
        <v>1657.7777777777778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6" r:id="rId3" name="CommandButton1">
          <controlPr defaultSize="0" autoLine="0" r:id="rId4">
            <anchor moveWithCells="1">
              <from>
                <xdr:col>2</xdr:col>
                <xdr:colOff>47625</xdr:colOff>
                <xdr:row>10</xdr:row>
                <xdr:rowOff>47625</xdr:rowOff>
              </from>
              <to>
                <xdr:col>3</xdr:col>
                <xdr:colOff>476250</xdr:colOff>
                <xdr:row>11</xdr:row>
                <xdr:rowOff>123825</xdr:rowOff>
              </to>
            </anchor>
          </controlPr>
        </control>
      </mc:Choice>
      <mc:Fallback>
        <control shapeId="3076" r:id="rId3" name="CommandButton1"/>
      </mc:Fallback>
    </mc:AlternateContent>
    <mc:AlternateContent xmlns:mc="http://schemas.openxmlformats.org/markup-compatibility/2006">
      <mc:Choice Requires="x14">
        <control shapeId="3086" r:id="rId5" name="CommandButton2">
          <controlPr defaultSize="0" autoLine="0" autoPict="0" r:id="rId6">
            <anchor moveWithCells="1">
              <from>
                <xdr:col>5</xdr:col>
                <xdr:colOff>171450</xdr:colOff>
                <xdr:row>10</xdr:row>
                <xdr:rowOff>95250</xdr:rowOff>
              </from>
              <to>
                <xdr:col>6</xdr:col>
                <xdr:colOff>762000</xdr:colOff>
                <xdr:row>12</xdr:row>
                <xdr:rowOff>28575</xdr:rowOff>
              </to>
            </anchor>
          </controlPr>
        </control>
      </mc:Choice>
      <mc:Fallback>
        <control shapeId="3086" r:id="rId5" name="Command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Đức Hữu Đỗ</cp:lastModifiedBy>
  <cp:revision/>
  <dcterms:created xsi:type="dcterms:W3CDTF">2016-08-20T13:07:02Z</dcterms:created>
  <dcterms:modified xsi:type="dcterms:W3CDTF">2025-10-27T08:34:55Z</dcterms:modified>
  <cp:category/>
  <cp:contentStatus/>
</cp:coreProperties>
</file>